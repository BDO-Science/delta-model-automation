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SLS\SLS_abundance_estimates\"/>
    </mc:Choice>
  </mc:AlternateContent>
  <xr:revisionPtr revIDLastSave="0" documentId="13_ncr:1_{A0DA8AC9-02E9-4114-8068-9AC3D7436E7C}" xr6:coauthVersionLast="47" xr6:coauthVersionMax="47" xr10:uidLastSave="{00000000-0000-0000-0000-000000000000}"/>
  <bookViews>
    <workbookView xWindow="-96" yWindow="-96" windowWidth="23232" windowHeight="13872" xr2:uid="{88A05D87-0859-4C29-A028-144C669DC59E}"/>
  </bookViews>
  <sheets>
    <sheet name="2026 LFS Abundances for Spati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L1" i="1"/>
  <c r="K3" i="1" a="1"/>
  <c r="K3" i="1" s="1"/>
  <c r="M3" i="1" a="1"/>
  <c r="M3" i="1" s="1"/>
  <c r="N3" i="1" s="1"/>
  <c r="L15" i="1" l="1"/>
  <c r="L13" i="1"/>
  <c r="J8" i="1"/>
  <c r="J7" i="1"/>
  <c r="J6" i="1"/>
  <c r="J5" i="1"/>
  <c r="L9" i="1"/>
  <c r="L16" i="1"/>
  <c r="L14" i="1"/>
  <c r="J9" i="1"/>
  <c r="L12" i="1"/>
  <c r="L11" i="1"/>
  <c r="L10" i="1"/>
  <c r="J4" i="1"/>
  <c r="L8" i="1"/>
  <c r="L25" i="1"/>
  <c r="L24" i="1"/>
  <c r="L23" i="1"/>
  <c r="L22" i="1"/>
  <c r="L21" i="1"/>
  <c r="L20" i="1"/>
  <c r="L19" i="1"/>
  <c r="L18" i="1"/>
  <c r="L17" i="1"/>
  <c r="L3" i="1"/>
  <c r="L7" i="1"/>
  <c r="L28" i="1"/>
  <c r="L6" i="1"/>
  <c r="L27" i="1"/>
  <c r="L5" i="1"/>
  <c r="L26" i="1"/>
  <c r="L4" i="1"/>
  <c r="N22" i="1"/>
  <c r="N24" i="1"/>
  <c r="N21" i="1"/>
  <c r="N27" i="1"/>
  <c r="N5" i="1"/>
  <c r="N26" i="1"/>
  <c r="N4" i="1"/>
  <c r="N25" i="1"/>
  <c r="N23" i="1"/>
  <c r="N8" i="1"/>
  <c r="N19" i="1"/>
  <c r="N18" i="1"/>
  <c r="N16" i="1"/>
  <c r="N15" i="1"/>
  <c r="N13" i="1"/>
  <c r="N10" i="1"/>
  <c r="N7" i="1"/>
  <c r="N20" i="1"/>
  <c r="N17" i="1"/>
  <c r="N14" i="1"/>
  <c r="N12" i="1"/>
  <c r="N11" i="1"/>
  <c r="N9" i="1"/>
  <c r="N28" i="1"/>
  <c r="N6" i="1"/>
  <c r="J10" i="1" l="1"/>
  <c r="L2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<sst xmlns="http://schemas.openxmlformats.org/spreadsheetml/2006/main" count="311" uniqueCount="48">
  <si>
    <t>survDate</t>
  </si>
  <si>
    <t>WY</t>
  </si>
  <si>
    <t>Source</t>
  </si>
  <si>
    <t>Survey</t>
  </si>
  <si>
    <t>SubRegion</t>
  </si>
  <si>
    <t>Region</t>
  </si>
  <si>
    <t>Subregion_Abund</t>
  </si>
  <si>
    <t>Regional_Abundance</t>
  </si>
  <si>
    <t>2025-12-29T08:00:00Z</t>
  </si>
  <si>
    <t>SLS</t>
  </si>
  <si>
    <t>North and South Forks Mokelumne River</t>
  </si>
  <si>
    <t>Eastern Delta</t>
  </si>
  <si>
    <t>Lower Sacramento River</t>
  </si>
  <si>
    <t>Lower Sacramento</t>
  </si>
  <si>
    <t>Sacramento River near Rio Vista</t>
  </si>
  <si>
    <t>Lower San Joaquin River</t>
  </si>
  <si>
    <t>Lower San Joaquin</t>
  </si>
  <si>
    <t>San Joaquin River at Twitchell Island</t>
  </si>
  <si>
    <t>San Joaquin River at Prisoners Pt</t>
  </si>
  <si>
    <t>Sacramento River near Ryde</t>
  </si>
  <si>
    <t>Sacramento/ North Delta</t>
  </si>
  <si>
    <t>Cache Slough and Liberty Island</t>
  </si>
  <si>
    <t>Lower Sacramento River Ship Channel</t>
  </si>
  <si>
    <t>Holland Cut</t>
  </si>
  <si>
    <t>South Delta</t>
  </si>
  <si>
    <t>San Joaquin River near Stockton</t>
  </si>
  <si>
    <t>Middle River</t>
  </si>
  <si>
    <t>Old River</t>
  </si>
  <si>
    <t>West Suisun Bay</t>
  </si>
  <si>
    <t>Suisun</t>
  </si>
  <si>
    <t>East Suisun Bay</t>
  </si>
  <si>
    <t>Honker Bay</t>
  </si>
  <si>
    <t>Grizzly Bay</t>
  </si>
  <si>
    <t>Montezuma Slough</t>
  </si>
  <si>
    <t>West San Pablo Bay</t>
  </si>
  <si>
    <t>Western Delta</t>
  </si>
  <si>
    <t>Mid San Pablo Bay</t>
  </si>
  <si>
    <t>East San Pablo Bay</t>
  </si>
  <si>
    <t>Carquinez Strait</t>
  </si>
  <si>
    <t>Lower Napa River</t>
  </si>
  <si>
    <t>Upper Napa River</t>
  </si>
  <si>
    <t>2026-01-12T08:00:00Z</t>
  </si>
  <si>
    <t>Franks Tract</t>
  </si>
  <si>
    <t>Victoria Canal</t>
  </si>
  <si>
    <t>2026-01-26T08:00:00Z</t>
  </si>
  <si>
    <t>DSM2 Node</t>
  </si>
  <si>
    <t>Subregion</t>
  </si>
  <si>
    <t>Define Survey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</si>
</sst>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16" fillId="0" borderId="0" xfId="0" applyFont="1"/>
    <xf numFmtId="3" fontId="0" fillId="0" borderId="10" xfId="0" applyNumberFormat="1" applyBorder="1"/>
    <xf numFmtId="0" fontId="0" fillId="0" borderId="10" xfId="0" applyBorder="1"/>
    <xf numFmtId="0" fontId="0" fillId="33" borderId="11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80010</xdr:colOff>
      <xdr:row>2</xdr:row>
      <xdr:rowOff>60959</xdr:rowOff>
    </xdr:from>
    <xdr:to>
      <xdr:col>23</xdr:col>
      <xdr:colOff>152400</xdr:colOff>
      <xdr:row>34</xdr:row>
      <xdr:rowOff>100852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D47424-4302-75A6-C8E2-B7C9D7801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6190" y="426719"/>
          <a:ext cx="4552950" cy="58920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4596-143D-48EB-BA71-060244629085}">
  <dimension ref="A1:O75"/>
  <sheetViews>
    <sheetView tabSelected="1" workbookViewId="0">
      <selection activeCell="O1" sqref="A1:O1048576"/>
    </sheetView>
  </sheetViews>
  <sheetFormatPr defaultRowHeight="14.4" x14ac:dyDescent="0.55000000000000004"/>
  <cols>
    <col min="1" max="1" width="11.578125" customWidth="1"/>
    <col min="5" max="5" width="32.05078125" bestFit="1" customWidth="1"/>
    <col min="6" max="6" width="20.20703125" bestFit="1" customWidth="1"/>
    <col min="7" max="7" width="14.41796875" bestFit="1" customWidth="1"/>
    <col min="8" max="8" width="17.26171875" bestFit="1" customWidth="1"/>
    <col min="10" max="10" width="17.578125" bestFit="1" customWidth="1"/>
    <col min="11" max="11" width="20.20703125" bestFit="1" customWidth="1"/>
    <col min="12" max="12" width="14.7890625" bestFit="1" customWidth="1"/>
    <col min="13" max="13" width="32.05078125" bestFit="1" customWidth="1"/>
    <col min="14" max="14" width="20.20703125" bestFit="1" customWidth="1"/>
    <col min="15" max="15" width="11.5234375" customWidth="1"/>
  </cols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s="2" t="s">
        <v>47</v>
      </c>
      <c r="K1" s="5">
        <v>2</v>
      </c>
      <c r="L1" t="str">
        <f>INDEX(A:A,MATCH(K1,D:D,0))</f>
        <v>2026-01-12T08:00:00Z</v>
      </c>
    </row>
    <row r="2" spans="1:15" x14ac:dyDescent="0.55000000000000004">
      <c r="A2" t="s">
        <v>8</v>
      </c>
      <c r="B2">
        <v>2026</v>
      </c>
      <c r="C2" t="s">
        <v>9</v>
      </c>
      <c r="D2">
        <v>1</v>
      </c>
      <c r="E2" t="s">
        <v>10</v>
      </c>
      <c r="F2" t="s">
        <v>11</v>
      </c>
      <c r="G2">
        <v>0</v>
      </c>
      <c r="H2">
        <v>0</v>
      </c>
      <c r="J2" s="2" t="s">
        <v>7</v>
      </c>
      <c r="K2" s="2" t="s">
        <v>5</v>
      </c>
      <c r="L2" s="2" t="s">
        <v>6</v>
      </c>
      <c r="M2" s="2" t="s">
        <v>46</v>
      </c>
      <c r="N2" s="2" t="s">
        <v>5</v>
      </c>
      <c r="O2" s="2" t="s">
        <v>45</v>
      </c>
    </row>
    <row r="3" spans="1:15" x14ac:dyDescent="0.55000000000000004">
      <c r="A3" t="s">
        <v>41</v>
      </c>
      <c r="B3">
        <v>2026</v>
      </c>
      <c r="C3" t="s">
        <v>9</v>
      </c>
      <c r="D3">
        <v>2</v>
      </c>
      <c r="E3" t="s">
        <v>10</v>
      </c>
      <c r="F3" t="s">
        <v>11</v>
      </c>
      <c r="G3">
        <v>0</v>
      </c>
      <c r="H3">
        <v>0</v>
      </c>
      <c r="J3" s="1">
        <f>_xlfn.MAXIFS(H:H,F:F,K3,D:D,$K$1)</f>
        <v>0</v>
      </c>
      <c r="K3" t="str" cm="1">
        <f t="array" ref="K3:K9">_xlfn.UNIQUE(F2:F75)</f>
        <v>Eastern Delta</v>
      </c>
      <c r="L3" s="1">
        <f>_xlfn.MAXIFS(G:G,E:E,M3,D:D,$K$1)</f>
        <v>0</v>
      </c>
      <c r="M3" t="str" cm="1">
        <f t="array" ref="M3:M28">_xlfn.UNIQUE(E2:E75)</f>
        <v>North and South Forks Mokelumne River</v>
      </c>
      <c r="N3" t="str">
        <f>INDEX(F:F,MATCH(M3,E:E,0))</f>
        <v>Eastern Delta</v>
      </c>
    </row>
    <row r="4" spans="1:15" x14ac:dyDescent="0.55000000000000004">
      <c r="A4" t="s">
        <v>44</v>
      </c>
      <c r="B4">
        <v>2026</v>
      </c>
      <c r="C4" t="s">
        <v>9</v>
      </c>
      <c r="D4">
        <v>3</v>
      </c>
      <c r="E4" t="s">
        <v>10</v>
      </c>
      <c r="F4" t="s">
        <v>11</v>
      </c>
      <c r="G4">
        <v>0</v>
      </c>
      <c r="H4">
        <v>0</v>
      </c>
      <c r="J4" s="1">
        <f t="shared" ref="J4:J9" si="0">_xlfn.MAXIFS(H:H,F:F,K4,D:D,$K$1)</f>
        <v>290000</v>
      </c>
      <c r="K4" t="str">
        <v>Lower Sacramento</v>
      </c>
      <c r="L4" s="1">
        <f t="shared" ref="L4:L28" si="1">_xlfn.MAXIFS(G:G,E:E,M4,D:D,$K$1)</f>
        <v>290000</v>
      </c>
      <c r="M4" t="str">
        <v>Lower Sacramento River</v>
      </c>
      <c r="N4" t="str">
        <f t="shared" ref="N4:N28" si="2">INDEX(F:F,MATCH(M4,E:E,0))</f>
        <v>Lower Sacramento</v>
      </c>
    </row>
    <row r="5" spans="1:15" x14ac:dyDescent="0.55000000000000004">
      <c r="A5" t="s">
        <v>8</v>
      </c>
      <c r="B5">
        <v>2026</v>
      </c>
      <c r="C5" t="s">
        <v>9</v>
      </c>
      <c r="D5">
        <v>1</v>
      </c>
      <c r="E5" t="s">
        <v>12</v>
      </c>
      <c r="F5" t="s">
        <v>13</v>
      </c>
      <c r="G5" s="1">
        <v>290000</v>
      </c>
      <c r="H5" s="1">
        <v>331500</v>
      </c>
      <c r="J5" s="1">
        <f t="shared" si="0"/>
        <v>424556</v>
      </c>
      <c r="K5" t="str">
        <v>Lower San Joaquin</v>
      </c>
      <c r="L5" s="1">
        <f t="shared" si="1"/>
        <v>0</v>
      </c>
      <c r="M5" t="str">
        <v>Sacramento River near Rio Vista</v>
      </c>
      <c r="N5" t="str">
        <f t="shared" si="2"/>
        <v>Lower Sacramento</v>
      </c>
    </row>
    <row r="6" spans="1:15" x14ac:dyDescent="0.55000000000000004">
      <c r="A6" t="s">
        <v>8</v>
      </c>
      <c r="B6">
        <v>2026</v>
      </c>
      <c r="C6" t="s">
        <v>9</v>
      </c>
      <c r="D6">
        <v>1</v>
      </c>
      <c r="E6" t="s">
        <v>14</v>
      </c>
      <c r="F6" t="s">
        <v>13</v>
      </c>
      <c r="G6" s="1">
        <v>41500</v>
      </c>
      <c r="H6" s="1">
        <v>331500</v>
      </c>
      <c r="J6" s="1">
        <f t="shared" si="0"/>
        <v>0</v>
      </c>
      <c r="K6" t="str">
        <v>Sacramento/ North Delta</v>
      </c>
      <c r="L6" s="1">
        <f t="shared" si="1"/>
        <v>336222</v>
      </c>
      <c r="M6" t="str">
        <v>Lower San Joaquin River</v>
      </c>
      <c r="N6" t="str">
        <f t="shared" si="2"/>
        <v>Lower San Joaquin</v>
      </c>
    </row>
    <row r="7" spans="1:15" x14ac:dyDescent="0.55000000000000004">
      <c r="A7" t="s">
        <v>41</v>
      </c>
      <c r="B7">
        <v>2026</v>
      </c>
      <c r="C7" t="s">
        <v>9</v>
      </c>
      <c r="D7">
        <v>2</v>
      </c>
      <c r="E7" t="s">
        <v>12</v>
      </c>
      <c r="F7" t="s">
        <v>13</v>
      </c>
      <c r="G7" s="1">
        <v>290000</v>
      </c>
      <c r="H7" s="1">
        <v>290000</v>
      </c>
      <c r="J7" s="1">
        <f t="shared" si="0"/>
        <v>0</v>
      </c>
      <c r="K7" t="str">
        <v>South Delta</v>
      </c>
      <c r="L7" s="1">
        <f t="shared" si="1"/>
        <v>88333</v>
      </c>
      <c r="M7" t="str">
        <v>San Joaquin River at Twitchell Island</v>
      </c>
      <c r="N7" t="str">
        <f t="shared" si="2"/>
        <v>Lower San Joaquin</v>
      </c>
    </row>
    <row r="8" spans="1:15" x14ac:dyDescent="0.55000000000000004">
      <c r="A8" t="s">
        <v>41</v>
      </c>
      <c r="B8">
        <v>2026</v>
      </c>
      <c r="C8" t="s">
        <v>9</v>
      </c>
      <c r="D8">
        <v>2</v>
      </c>
      <c r="E8" t="s">
        <v>14</v>
      </c>
      <c r="F8" t="s">
        <v>13</v>
      </c>
      <c r="G8">
        <v>0</v>
      </c>
      <c r="H8" s="1">
        <v>290000</v>
      </c>
      <c r="J8" s="1">
        <f t="shared" si="0"/>
        <v>10004000</v>
      </c>
      <c r="K8" t="str">
        <v>Suisun</v>
      </c>
      <c r="L8" s="1">
        <f t="shared" si="1"/>
        <v>0</v>
      </c>
      <c r="M8" t="str">
        <v>San Joaquin River at Prisoners Pt</v>
      </c>
      <c r="N8" t="str">
        <f t="shared" si="2"/>
        <v>Lower San Joaquin</v>
      </c>
    </row>
    <row r="9" spans="1:15" x14ac:dyDescent="0.55000000000000004">
      <c r="A9" t="s">
        <v>44</v>
      </c>
      <c r="B9">
        <v>2026</v>
      </c>
      <c r="C9" t="s">
        <v>9</v>
      </c>
      <c r="D9">
        <v>3</v>
      </c>
      <c r="E9" t="s">
        <v>12</v>
      </c>
      <c r="F9" t="s">
        <v>13</v>
      </c>
      <c r="G9" s="1">
        <v>4736667</v>
      </c>
      <c r="H9" s="1">
        <v>5068667</v>
      </c>
      <c r="J9" s="1">
        <f t="shared" si="0"/>
        <v>19350833</v>
      </c>
      <c r="K9" s="4" t="str">
        <v>Western Delta</v>
      </c>
      <c r="L9" s="1">
        <f t="shared" si="1"/>
        <v>0</v>
      </c>
      <c r="M9" t="str">
        <v>Sacramento River near Ryde</v>
      </c>
      <c r="N9" t="str">
        <f t="shared" si="2"/>
        <v>Sacramento/ North Delta</v>
      </c>
    </row>
    <row r="10" spans="1:15" x14ac:dyDescent="0.55000000000000004">
      <c r="A10" t="s">
        <v>44</v>
      </c>
      <c r="B10">
        <v>2026</v>
      </c>
      <c r="C10" t="s">
        <v>9</v>
      </c>
      <c r="D10">
        <v>3</v>
      </c>
      <c r="E10" t="s">
        <v>14</v>
      </c>
      <c r="F10" t="s">
        <v>13</v>
      </c>
      <c r="G10" s="1">
        <v>332000</v>
      </c>
      <c r="H10" s="1">
        <v>5068667</v>
      </c>
      <c r="J10" s="1">
        <f>SUM(J3:J9)</f>
        <v>30069389</v>
      </c>
      <c r="L10" s="1">
        <f t="shared" si="1"/>
        <v>0</v>
      </c>
      <c r="M10" t="str">
        <v>Cache Slough and Liberty Island</v>
      </c>
      <c r="N10" t="str">
        <f t="shared" si="2"/>
        <v>Sacramento/ North Delta</v>
      </c>
    </row>
    <row r="11" spans="1:15" x14ac:dyDescent="0.55000000000000004">
      <c r="A11" t="s">
        <v>8</v>
      </c>
      <c r="B11">
        <v>2026</v>
      </c>
      <c r="C11" t="s">
        <v>9</v>
      </c>
      <c r="D11">
        <v>1</v>
      </c>
      <c r="E11" t="s">
        <v>15</v>
      </c>
      <c r="F11" t="s">
        <v>16</v>
      </c>
      <c r="G11" s="1">
        <v>560370</v>
      </c>
      <c r="H11" s="1">
        <v>560370</v>
      </c>
      <c r="L11" s="1">
        <f t="shared" si="1"/>
        <v>0</v>
      </c>
      <c r="M11" t="str">
        <v>Lower Sacramento River Ship Channel</v>
      </c>
      <c r="N11" t="str">
        <f t="shared" si="2"/>
        <v>Sacramento/ North Delta</v>
      </c>
    </row>
    <row r="12" spans="1:15" x14ac:dyDescent="0.55000000000000004">
      <c r="A12" t="s">
        <v>8</v>
      </c>
      <c r="B12">
        <v>2026</v>
      </c>
      <c r="C12" t="s">
        <v>9</v>
      </c>
      <c r="D12">
        <v>1</v>
      </c>
      <c r="E12" t="s">
        <v>17</v>
      </c>
      <c r="F12" t="s">
        <v>16</v>
      </c>
      <c r="G12">
        <v>0</v>
      </c>
      <c r="H12" s="1">
        <v>560370</v>
      </c>
      <c r="L12" s="1">
        <f t="shared" si="1"/>
        <v>0</v>
      </c>
      <c r="M12" t="str">
        <v>Holland Cut</v>
      </c>
      <c r="N12" t="str">
        <f t="shared" si="2"/>
        <v>South Delta</v>
      </c>
    </row>
    <row r="13" spans="1:15" x14ac:dyDescent="0.55000000000000004">
      <c r="A13" t="s">
        <v>8</v>
      </c>
      <c r="B13">
        <v>2026</v>
      </c>
      <c r="C13" t="s">
        <v>9</v>
      </c>
      <c r="D13">
        <v>1</v>
      </c>
      <c r="E13" t="s">
        <v>18</v>
      </c>
      <c r="F13" t="s">
        <v>16</v>
      </c>
      <c r="G13">
        <v>0</v>
      </c>
      <c r="H13" s="1">
        <v>560370</v>
      </c>
      <c r="L13" s="1">
        <f t="shared" si="1"/>
        <v>0</v>
      </c>
      <c r="M13" t="str">
        <v>San Joaquin River near Stockton</v>
      </c>
      <c r="N13" t="str">
        <f t="shared" si="2"/>
        <v>South Delta</v>
      </c>
    </row>
    <row r="14" spans="1:15" x14ac:dyDescent="0.55000000000000004">
      <c r="A14" t="s">
        <v>41</v>
      </c>
      <c r="B14">
        <v>2026</v>
      </c>
      <c r="C14" t="s">
        <v>9</v>
      </c>
      <c r="D14">
        <v>2</v>
      </c>
      <c r="E14" t="s">
        <v>18</v>
      </c>
      <c r="F14" t="s">
        <v>16</v>
      </c>
      <c r="G14">
        <v>0</v>
      </c>
      <c r="H14" s="1">
        <v>424556</v>
      </c>
      <c r="L14" s="1">
        <f t="shared" si="1"/>
        <v>0</v>
      </c>
      <c r="M14" t="str">
        <v>Middle River</v>
      </c>
      <c r="N14" t="str">
        <f t="shared" si="2"/>
        <v>South Delta</v>
      </c>
    </row>
    <row r="15" spans="1:15" x14ac:dyDescent="0.55000000000000004">
      <c r="A15" t="s">
        <v>41</v>
      </c>
      <c r="B15">
        <v>2026</v>
      </c>
      <c r="C15" t="s">
        <v>9</v>
      </c>
      <c r="D15">
        <v>2</v>
      </c>
      <c r="E15" t="s">
        <v>15</v>
      </c>
      <c r="F15" t="s">
        <v>16</v>
      </c>
      <c r="G15" s="1">
        <v>336222</v>
      </c>
      <c r="H15" s="1">
        <v>424556</v>
      </c>
      <c r="L15" s="1">
        <f t="shared" si="1"/>
        <v>0</v>
      </c>
      <c r="M15" t="str">
        <v>Old River</v>
      </c>
      <c r="N15" t="str">
        <f t="shared" si="2"/>
        <v>South Delta</v>
      </c>
    </row>
    <row r="16" spans="1:15" x14ac:dyDescent="0.55000000000000004">
      <c r="A16" t="s">
        <v>41</v>
      </c>
      <c r="B16">
        <v>2026</v>
      </c>
      <c r="C16" t="s">
        <v>9</v>
      </c>
      <c r="D16">
        <v>2</v>
      </c>
      <c r="E16" t="s">
        <v>17</v>
      </c>
      <c r="F16" t="s">
        <v>16</v>
      </c>
      <c r="G16" s="1">
        <v>88333</v>
      </c>
      <c r="H16" s="1">
        <v>424556</v>
      </c>
      <c r="L16" s="1">
        <f t="shared" si="1"/>
        <v>0</v>
      </c>
      <c r="M16" t="str">
        <v>Franks Tract</v>
      </c>
      <c r="N16" t="str">
        <f t="shared" si="2"/>
        <v>South Delta</v>
      </c>
    </row>
    <row r="17" spans="1:14" x14ac:dyDescent="0.55000000000000004">
      <c r="A17" t="s">
        <v>44</v>
      </c>
      <c r="B17">
        <v>2026</v>
      </c>
      <c r="C17" t="s">
        <v>9</v>
      </c>
      <c r="D17">
        <v>3</v>
      </c>
      <c r="E17" t="s">
        <v>15</v>
      </c>
      <c r="F17" t="s">
        <v>16</v>
      </c>
      <c r="G17" s="1">
        <v>2129407</v>
      </c>
      <c r="H17" s="1">
        <v>2616019</v>
      </c>
      <c r="L17" s="1">
        <f t="shared" si="1"/>
        <v>0</v>
      </c>
      <c r="M17" t="str">
        <v>Victoria Canal</v>
      </c>
      <c r="N17" t="str">
        <f t="shared" si="2"/>
        <v>South Delta</v>
      </c>
    </row>
    <row r="18" spans="1:14" x14ac:dyDescent="0.55000000000000004">
      <c r="A18" t="s">
        <v>44</v>
      </c>
      <c r="B18">
        <v>2026</v>
      </c>
      <c r="C18" t="s">
        <v>9</v>
      </c>
      <c r="D18">
        <v>3</v>
      </c>
      <c r="E18" t="s">
        <v>17</v>
      </c>
      <c r="F18" t="s">
        <v>16</v>
      </c>
      <c r="G18" s="1">
        <v>397500</v>
      </c>
      <c r="H18" s="1">
        <v>2616019</v>
      </c>
      <c r="L18" s="1">
        <f t="shared" si="1"/>
        <v>8858889</v>
      </c>
      <c r="M18" t="str">
        <v>West Suisun Bay</v>
      </c>
      <c r="N18" t="str">
        <f t="shared" si="2"/>
        <v>Suisun</v>
      </c>
    </row>
    <row r="19" spans="1:14" x14ac:dyDescent="0.55000000000000004">
      <c r="A19" t="s">
        <v>44</v>
      </c>
      <c r="B19">
        <v>2026</v>
      </c>
      <c r="C19" t="s">
        <v>9</v>
      </c>
      <c r="D19">
        <v>3</v>
      </c>
      <c r="E19" t="s">
        <v>18</v>
      </c>
      <c r="F19" t="s">
        <v>16</v>
      </c>
      <c r="G19" s="1">
        <v>89111</v>
      </c>
      <c r="H19" s="1">
        <v>2616019</v>
      </c>
      <c r="L19" s="1">
        <f t="shared" si="1"/>
        <v>433222</v>
      </c>
      <c r="M19" t="str">
        <v>East Suisun Bay</v>
      </c>
      <c r="N19" t="str">
        <f t="shared" si="2"/>
        <v>Suisun</v>
      </c>
    </row>
    <row r="20" spans="1:14" x14ac:dyDescent="0.55000000000000004">
      <c r="A20" t="s">
        <v>8</v>
      </c>
      <c r="B20">
        <v>2026</v>
      </c>
      <c r="C20" t="s">
        <v>9</v>
      </c>
      <c r="D20">
        <v>1</v>
      </c>
      <c r="E20" t="s">
        <v>19</v>
      </c>
      <c r="F20" t="s">
        <v>20</v>
      </c>
      <c r="G20">
        <v>0</v>
      </c>
      <c r="H20">
        <v>0</v>
      </c>
      <c r="L20" s="1">
        <f t="shared" si="1"/>
        <v>318667</v>
      </c>
      <c r="M20" t="str">
        <v>Honker Bay</v>
      </c>
      <c r="N20" t="str">
        <f t="shared" si="2"/>
        <v>Suisun</v>
      </c>
    </row>
    <row r="21" spans="1:14" x14ac:dyDescent="0.55000000000000004">
      <c r="A21" t="s">
        <v>8</v>
      </c>
      <c r="B21">
        <v>2026</v>
      </c>
      <c r="C21" t="s">
        <v>9</v>
      </c>
      <c r="D21">
        <v>1</v>
      </c>
      <c r="E21" t="s">
        <v>21</v>
      </c>
      <c r="F21" t="s">
        <v>20</v>
      </c>
      <c r="G21">
        <v>0</v>
      </c>
      <c r="H21">
        <v>0</v>
      </c>
      <c r="L21" s="1">
        <f t="shared" si="1"/>
        <v>356000</v>
      </c>
      <c r="M21" t="str">
        <v>Grizzly Bay</v>
      </c>
      <c r="N21" t="str">
        <f t="shared" si="2"/>
        <v>Suisun</v>
      </c>
    </row>
    <row r="22" spans="1:14" x14ac:dyDescent="0.55000000000000004">
      <c r="A22" t="s">
        <v>8</v>
      </c>
      <c r="B22">
        <v>2026</v>
      </c>
      <c r="C22" t="s">
        <v>9</v>
      </c>
      <c r="D22">
        <v>1</v>
      </c>
      <c r="E22" t="s">
        <v>22</v>
      </c>
      <c r="F22" t="s">
        <v>20</v>
      </c>
      <c r="G22">
        <v>0</v>
      </c>
      <c r="H22">
        <v>0</v>
      </c>
      <c r="L22" s="1">
        <f t="shared" si="1"/>
        <v>37222</v>
      </c>
      <c r="M22" t="str">
        <v>Montezuma Slough</v>
      </c>
      <c r="N22" t="str">
        <f t="shared" si="2"/>
        <v>Suisun</v>
      </c>
    </row>
    <row r="23" spans="1:14" x14ac:dyDescent="0.55000000000000004">
      <c r="A23" t="s">
        <v>41</v>
      </c>
      <c r="B23">
        <v>2026</v>
      </c>
      <c r="C23" t="s">
        <v>9</v>
      </c>
      <c r="D23">
        <v>2</v>
      </c>
      <c r="E23" t="s">
        <v>19</v>
      </c>
      <c r="F23" t="s">
        <v>20</v>
      </c>
      <c r="G23">
        <v>0</v>
      </c>
      <c r="H23">
        <v>0</v>
      </c>
      <c r="L23" s="1">
        <f t="shared" si="1"/>
        <v>348444</v>
      </c>
      <c r="M23" t="str">
        <v>West San Pablo Bay</v>
      </c>
      <c r="N23" t="str">
        <f t="shared" si="2"/>
        <v>Western Delta</v>
      </c>
    </row>
    <row r="24" spans="1:14" x14ac:dyDescent="0.55000000000000004">
      <c r="A24" t="s">
        <v>41</v>
      </c>
      <c r="B24">
        <v>2026</v>
      </c>
      <c r="C24" t="s">
        <v>9</v>
      </c>
      <c r="D24">
        <v>2</v>
      </c>
      <c r="E24" t="s">
        <v>21</v>
      </c>
      <c r="F24" t="s">
        <v>20</v>
      </c>
      <c r="G24">
        <v>0</v>
      </c>
      <c r="H24">
        <v>0</v>
      </c>
      <c r="L24" s="1">
        <f t="shared" si="1"/>
        <v>1583667</v>
      </c>
      <c r="M24" t="str">
        <v>Mid San Pablo Bay</v>
      </c>
      <c r="N24" t="str">
        <f t="shared" si="2"/>
        <v>Western Delta</v>
      </c>
    </row>
    <row r="25" spans="1:14" x14ac:dyDescent="0.55000000000000004">
      <c r="A25" t="s">
        <v>41</v>
      </c>
      <c r="B25">
        <v>2026</v>
      </c>
      <c r="C25" t="s">
        <v>9</v>
      </c>
      <c r="D25">
        <v>2</v>
      </c>
      <c r="E25" t="s">
        <v>22</v>
      </c>
      <c r="F25" t="s">
        <v>20</v>
      </c>
      <c r="G25">
        <v>0</v>
      </c>
      <c r="H25">
        <v>0</v>
      </c>
      <c r="L25" s="1">
        <f t="shared" si="1"/>
        <v>1211167</v>
      </c>
      <c r="M25" t="str">
        <v>East San Pablo Bay</v>
      </c>
      <c r="N25" t="str">
        <f t="shared" si="2"/>
        <v>Western Delta</v>
      </c>
    </row>
    <row r="26" spans="1:14" x14ac:dyDescent="0.55000000000000004">
      <c r="A26" t="s">
        <v>44</v>
      </c>
      <c r="B26">
        <v>2026</v>
      </c>
      <c r="C26" t="s">
        <v>9</v>
      </c>
      <c r="D26">
        <v>3</v>
      </c>
      <c r="E26" t="s">
        <v>19</v>
      </c>
      <c r="F26" t="s">
        <v>20</v>
      </c>
      <c r="G26">
        <v>0</v>
      </c>
      <c r="H26" s="1">
        <v>91333</v>
      </c>
      <c r="L26" s="1">
        <f t="shared" si="1"/>
        <v>15437000</v>
      </c>
      <c r="M26" t="str">
        <v>Carquinez Strait</v>
      </c>
      <c r="N26" t="str">
        <f t="shared" si="2"/>
        <v>Western Delta</v>
      </c>
    </row>
    <row r="27" spans="1:14" x14ac:dyDescent="0.55000000000000004">
      <c r="A27" t="s">
        <v>44</v>
      </c>
      <c r="B27">
        <v>2026</v>
      </c>
      <c r="C27" t="s">
        <v>9</v>
      </c>
      <c r="D27">
        <v>3</v>
      </c>
      <c r="E27" t="s">
        <v>21</v>
      </c>
      <c r="F27" t="s">
        <v>20</v>
      </c>
      <c r="G27">
        <v>0</v>
      </c>
      <c r="H27" s="1">
        <v>91333</v>
      </c>
      <c r="L27" s="1">
        <f t="shared" si="1"/>
        <v>770556</v>
      </c>
      <c r="M27" t="str">
        <v>Lower Napa River</v>
      </c>
      <c r="N27" t="str">
        <f t="shared" si="2"/>
        <v>Western Delta</v>
      </c>
    </row>
    <row r="28" spans="1:14" x14ac:dyDescent="0.55000000000000004">
      <c r="A28" t="s">
        <v>44</v>
      </c>
      <c r="B28">
        <v>2026</v>
      </c>
      <c r="C28" t="s">
        <v>9</v>
      </c>
      <c r="D28">
        <v>3</v>
      </c>
      <c r="E28" t="s">
        <v>22</v>
      </c>
      <c r="F28" t="s">
        <v>20</v>
      </c>
      <c r="G28" s="1">
        <v>91333</v>
      </c>
      <c r="H28" s="1">
        <v>91333</v>
      </c>
      <c r="L28" s="3">
        <f t="shared" si="1"/>
        <v>0</v>
      </c>
      <c r="M28" s="4" t="str">
        <v>Upper Napa River</v>
      </c>
      <c r="N28" t="str">
        <f t="shared" si="2"/>
        <v>Western Delta</v>
      </c>
    </row>
    <row r="29" spans="1:14" x14ac:dyDescent="0.55000000000000004">
      <c r="A29" t="s">
        <v>8</v>
      </c>
      <c r="B29">
        <v>2026</v>
      </c>
      <c r="C29" t="s">
        <v>9</v>
      </c>
      <c r="D29">
        <v>1</v>
      </c>
      <c r="E29" t="s">
        <v>23</v>
      </c>
      <c r="F29" t="s">
        <v>24</v>
      </c>
      <c r="G29">
        <v>0</v>
      </c>
      <c r="H29">
        <v>0</v>
      </c>
      <c r="L29" s="1">
        <f>SUM(L3:L28)</f>
        <v>30069389</v>
      </c>
    </row>
    <row r="30" spans="1:14" x14ac:dyDescent="0.55000000000000004">
      <c r="A30" t="s">
        <v>8</v>
      </c>
      <c r="B30">
        <v>2026</v>
      </c>
      <c r="C30" t="s">
        <v>9</v>
      </c>
      <c r="D30">
        <v>1</v>
      </c>
      <c r="E30" t="s">
        <v>25</v>
      </c>
      <c r="F30" t="s">
        <v>24</v>
      </c>
      <c r="G30">
        <v>0</v>
      </c>
      <c r="H30">
        <v>0</v>
      </c>
    </row>
    <row r="31" spans="1:14" x14ac:dyDescent="0.55000000000000004">
      <c r="A31" t="s">
        <v>8</v>
      </c>
      <c r="B31">
        <v>2026</v>
      </c>
      <c r="C31" t="s">
        <v>9</v>
      </c>
      <c r="D31">
        <v>1</v>
      </c>
      <c r="E31" t="s">
        <v>26</v>
      </c>
      <c r="F31" t="s">
        <v>24</v>
      </c>
      <c r="G31">
        <v>0</v>
      </c>
      <c r="H31">
        <v>0</v>
      </c>
    </row>
    <row r="32" spans="1:14" x14ac:dyDescent="0.55000000000000004">
      <c r="A32" t="s">
        <v>8</v>
      </c>
      <c r="B32">
        <v>2026</v>
      </c>
      <c r="C32" t="s">
        <v>9</v>
      </c>
      <c r="D32">
        <v>1</v>
      </c>
      <c r="E32" t="s">
        <v>27</v>
      </c>
      <c r="F32" t="s">
        <v>24</v>
      </c>
      <c r="G32">
        <v>0</v>
      </c>
      <c r="H32">
        <v>0</v>
      </c>
    </row>
    <row r="33" spans="1:8" x14ac:dyDescent="0.55000000000000004">
      <c r="A33" t="s">
        <v>41</v>
      </c>
      <c r="B33">
        <v>2026</v>
      </c>
      <c r="C33" t="s">
        <v>9</v>
      </c>
      <c r="D33">
        <v>2</v>
      </c>
      <c r="E33" t="s">
        <v>42</v>
      </c>
      <c r="F33" t="s">
        <v>24</v>
      </c>
      <c r="G33">
        <v>0</v>
      </c>
      <c r="H33">
        <v>0</v>
      </c>
    </row>
    <row r="34" spans="1:8" x14ac:dyDescent="0.55000000000000004">
      <c r="A34" t="s">
        <v>41</v>
      </c>
      <c r="B34">
        <v>2026</v>
      </c>
      <c r="C34" t="s">
        <v>9</v>
      </c>
      <c r="D34">
        <v>2</v>
      </c>
      <c r="E34" t="s">
        <v>23</v>
      </c>
      <c r="F34" t="s">
        <v>24</v>
      </c>
      <c r="G34">
        <v>0</v>
      </c>
      <c r="H34">
        <v>0</v>
      </c>
    </row>
    <row r="35" spans="1:8" x14ac:dyDescent="0.55000000000000004">
      <c r="A35" t="s">
        <v>41</v>
      </c>
      <c r="B35">
        <v>2026</v>
      </c>
      <c r="C35" t="s">
        <v>9</v>
      </c>
      <c r="D35">
        <v>2</v>
      </c>
      <c r="E35" t="s">
        <v>25</v>
      </c>
      <c r="F35" t="s">
        <v>24</v>
      </c>
      <c r="G35">
        <v>0</v>
      </c>
      <c r="H35">
        <v>0</v>
      </c>
    </row>
    <row r="36" spans="1:8" x14ac:dyDescent="0.55000000000000004">
      <c r="A36" t="s">
        <v>41</v>
      </c>
      <c r="B36">
        <v>2026</v>
      </c>
      <c r="C36" t="s">
        <v>9</v>
      </c>
      <c r="D36">
        <v>2</v>
      </c>
      <c r="E36" t="s">
        <v>26</v>
      </c>
      <c r="F36" t="s">
        <v>24</v>
      </c>
      <c r="G36">
        <v>0</v>
      </c>
      <c r="H36">
        <v>0</v>
      </c>
    </row>
    <row r="37" spans="1:8" x14ac:dyDescent="0.55000000000000004">
      <c r="A37" t="s">
        <v>41</v>
      </c>
      <c r="B37">
        <v>2026</v>
      </c>
      <c r="C37" t="s">
        <v>9</v>
      </c>
      <c r="D37">
        <v>2</v>
      </c>
      <c r="E37" t="s">
        <v>27</v>
      </c>
      <c r="F37" t="s">
        <v>24</v>
      </c>
      <c r="G37">
        <v>0</v>
      </c>
      <c r="H37">
        <v>0</v>
      </c>
    </row>
    <row r="38" spans="1:8" x14ac:dyDescent="0.55000000000000004">
      <c r="A38" t="s">
        <v>41</v>
      </c>
      <c r="B38">
        <v>2026</v>
      </c>
      <c r="C38" t="s">
        <v>9</v>
      </c>
      <c r="D38">
        <v>2</v>
      </c>
      <c r="E38" t="s">
        <v>43</v>
      </c>
      <c r="F38" t="s">
        <v>24</v>
      </c>
      <c r="G38">
        <v>0</v>
      </c>
      <c r="H38">
        <v>0</v>
      </c>
    </row>
    <row r="39" spans="1:8" x14ac:dyDescent="0.55000000000000004">
      <c r="A39" t="s">
        <v>44</v>
      </c>
      <c r="B39">
        <v>2026</v>
      </c>
      <c r="C39" t="s">
        <v>9</v>
      </c>
      <c r="D39">
        <v>3</v>
      </c>
      <c r="E39" t="s">
        <v>42</v>
      </c>
      <c r="F39" t="s">
        <v>24</v>
      </c>
      <c r="G39" s="1">
        <v>390000</v>
      </c>
      <c r="H39" s="1">
        <v>390000</v>
      </c>
    </row>
    <row r="40" spans="1:8" x14ac:dyDescent="0.55000000000000004">
      <c r="A40" t="s">
        <v>44</v>
      </c>
      <c r="B40">
        <v>2026</v>
      </c>
      <c r="C40" t="s">
        <v>9</v>
      </c>
      <c r="D40">
        <v>3</v>
      </c>
      <c r="E40" t="s">
        <v>23</v>
      </c>
      <c r="F40" t="s">
        <v>24</v>
      </c>
      <c r="G40">
        <v>0</v>
      </c>
      <c r="H40" s="1">
        <v>390000</v>
      </c>
    </row>
    <row r="41" spans="1:8" x14ac:dyDescent="0.55000000000000004">
      <c r="A41" t="s">
        <v>44</v>
      </c>
      <c r="B41">
        <v>2026</v>
      </c>
      <c r="C41" t="s">
        <v>9</v>
      </c>
      <c r="D41">
        <v>3</v>
      </c>
      <c r="E41" t="s">
        <v>25</v>
      </c>
      <c r="F41" t="s">
        <v>24</v>
      </c>
      <c r="G41">
        <v>0</v>
      </c>
      <c r="H41" s="1">
        <v>390000</v>
      </c>
    </row>
    <row r="42" spans="1:8" x14ac:dyDescent="0.55000000000000004">
      <c r="A42" t="s">
        <v>44</v>
      </c>
      <c r="B42">
        <v>2026</v>
      </c>
      <c r="C42" t="s">
        <v>9</v>
      </c>
      <c r="D42">
        <v>3</v>
      </c>
      <c r="E42" t="s">
        <v>26</v>
      </c>
      <c r="F42" t="s">
        <v>24</v>
      </c>
      <c r="G42">
        <v>0</v>
      </c>
      <c r="H42" s="1">
        <v>390000</v>
      </c>
    </row>
    <row r="43" spans="1:8" x14ac:dyDescent="0.55000000000000004">
      <c r="A43" t="s">
        <v>44</v>
      </c>
      <c r="B43">
        <v>2026</v>
      </c>
      <c r="C43" t="s">
        <v>9</v>
      </c>
      <c r="D43">
        <v>3</v>
      </c>
      <c r="E43" t="s">
        <v>27</v>
      </c>
      <c r="F43" t="s">
        <v>24</v>
      </c>
      <c r="G43">
        <v>0</v>
      </c>
      <c r="H43" s="1">
        <v>390000</v>
      </c>
    </row>
    <row r="44" spans="1:8" x14ac:dyDescent="0.55000000000000004">
      <c r="A44" t="s">
        <v>44</v>
      </c>
      <c r="B44">
        <v>2026</v>
      </c>
      <c r="C44" t="s">
        <v>9</v>
      </c>
      <c r="D44">
        <v>3</v>
      </c>
      <c r="E44" t="s">
        <v>43</v>
      </c>
      <c r="F44" t="s">
        <v>24</v>
      </c>
      <c r="G44">
        <v>0</v>
      </c>
      <c r="H44" s="1">
        <v>390000</v>
      </c>
    </row>
    <row r="45" spans="1:8" x14ac:dyDescent="0.55000000000000004">
      <c r="A45" t="s">
        <v>8</v>
      </c>
      <c r="B45">
        <v>2026</v>
      </c>
      <c r="C45" t="s">
        <v>9</v>
      </c>
      <c r="D45">
        <v>1</v>
      </c>
      <c r="E45" t="s">
        <v>28</v>
      </c>
      <c r="F45" t="s">
        <v>29</v>
      </c>
      <c r="G45" s="1">
        <v>3543556</v>
      </c>
      <c r="H45" s="1">
        <v>4729556</v>
      </c>
    </row>
    <row r="46" spans="1:8" x14ac:dyDescent="0.55000000000000004">
      <c r="A46" t="s">
        <v>8</v>
      </c>
      <c r="B46">
        <v>2026</v>
      </c>
      <c r="C46" t="s">
        <v>9</v>
      </c>
      <c r="D46">
        <v>1</v>
      </c>
      <c r="E46" t="s">
        <v>30</v>
      </c>
      <c r="F46" t="s">
        <v>29</v>
      </c>
      <c r="G46" s="1">
        <v>928333</v>
      </c>
      <c r="H46" s="1">
        <v>4729556</v>
      </c>
    </row>
    <row r="47" spans="1:8" x14ac:dyDescent="0.55000000000000004">
      <c r="A47" t="s">
        <v>8</v>
      </c>
      <c r="B47">
        <v>2026</v>
      </c>
      <c r="C47" t="s">
        <v>9</v>
      </c>
      <c r="D47">
        <v>1</v>
      </c>
      <c r="E47" t="s">
        <v>31</v>
      </c>
      <c r="F47" t="s">
        <v>29</v>
      </c>
      <c r="G47" s="1">
        <v>79667</v>
      </c>
      <c r="H47" s="1">
        <v>4729556</v>
      </c>
    </row>
    <row r="48" spans="1:8" x14ac:dyDescent="0.55000000000000004">
      <c r="A48" t="s">
        <v>8</v>
      </c>
      <c r="B48">
        <v>2026</v>
      </c>
      <c r="C48" t="s">
        <v>9</v>
      </c>
      <c r="D48">
        <v>1</v>
      </c>
      <c r="E48" t="s">
        <v>32</v>
      </c>
      <c r="F48" t="s">
        <v>29</v>
      </c>
      <c r="G48" s="1">
        <v>178000</v>
      </c>
      <c r="H48" s="1">
        <v>4729556</v>
      </c>
    </row>
    <row r="49" spans="1:8" x14ac:dyDescent="0.55000000000000004">
      <c r="A49" t="s">
        <v>8</v>
      </c>
      <c r="B49">
        <v>2026</v>
      </c>
      <c r="C49" t="s">
        <v>9</v>
      </c>
      <c r="D49">
        <v>1</v>
      </c>
      <c r="E49" t="s">
        <v>33</v>
      </c>
      <c r="F49" t="s">
        <v>29</v>
      </c>
      <c r="G49">
        <v>0</v>
      </c>
      <c r="H49" s="1">
        <v>4729556</v>
      </c>
    </row>
    <row r="50" spans="1:8" x14ac:dyDescent="0.55000000000000004">
      <c r="A50" t="s">
        <v>41</v>
      </c>
      <c r="B50">
        <v>2026</v>
      </c>
      <c r="C50" t="s">
        <v>9</v>
      </c>
      <c r="D50">
        <v>2</v>
      </c>
      <c r="E50" t="s">
        <v>28</v>
      </c>
      <c r="F50" t="s">
        <v>29</v>
      </c>
      <c r="G50" s="1">
        <v>8858889</v>
      </c>
      <c r="H50" s="1">
        <v>10004000</v>
      </c>
    </row>
    <row r="51" spans="1:8" x14ac:dyDescent="0.55000000000000004">
      <c r="A51" t="s">
        <v>41</v>
      </c>
      <c r="B51">
        <v>2026</v>
      </c>
      <c r="C51" t="s">
        <v>9</v>
      </c>
      <c r="D51">
        <v>2</v>
      </c>
      <c r="E51" t="s">
        <v>30</v>
      </c>
      <c r="F51" t="s">
        <v>29</v>
      </c>
      <c r="G51" s="1">
        <v>433222</v>
      </c>
      <c r="H51" s="1">
        <v>10004000</v>
      </c>
    </row>
    <row r="52" spans="1:8" x14ac:dyDescent="0.55000000000000004">
      <c r="A52" t="s">
        <v>41</v>
      </c>
      <c r="B52">
        <v>2026</v>
      </c>
      <c r="C52" t="s">
        <v>9</v>
      </c>
      <c r="D52">
        <v>2</v>
      </c>
      <c r="E52" t="s">
        <v>31</v>
      </c>
      <c r="F52" t="s">
        <v>29</v>
      </c>
      <c r="G52" s="1">
        <v>318667</v>
      </c>
      <c r="H52" s="1">
        <v>10004000</v>
      </c>
    </row>
    <row r="53" spans="1:8" x14ac:dyDescent="0.55000000000000004">
      <c r="A53" t="s">
        <v>41</v>
      </c>
      <c r="B53">
        <v>2026</v>
      </c>
      <c r="C53" t="s">
        <v>9</v>
      </c>
      <c r="D53">
        <v>2</v>
      </c>
      <c r="E53" t="s">
        <v>32</v>
      </c>
      <c r="F53" t="s">
        <v>29</v>
      </c>
      <c r="G53" s="1">
        <v>356000</v>
      </c>
      <c r="H53" s="1">
        <v>10004000</v>
      </c>
    </row>
    <row r="54" spans="1:8" x14ac:dyDescent="0.55000000000000004">
      <c r="A54" t="s">
        <v>41</v>
      </c>
      <c r="B54">
        <v>2026</v>
      </c>
      <c r="C54" t="s">
        <v>9</v>
      </c>
      <c r="D54">
        <v>2</v>
      </c>
      <c r="E54" t="s">
        <v>33</v>
      </c>
      <c r="F54" t="s">
        <v>29</v>
      </c>
      <c r="G54" s="1">
        <v>37222</v>
      </c>
      <c r="H54" s="1">
        <v>10004000</v>
      </c>
    </row>
    <row r="55" spans="1:8" x14ac:dyDescent="0.55000000000000004">
      <c r="A55" t="s">
        <v>44</v>
      </c>
      <c r="B55">
        <v>2026</v>
      </c>
      <c r="C55" t="s">
        <v>9</v>
      </c>
      <c r="D55">
        <v>3</v>
      </c>
      <c r="E55" t="s">
        <v>28</v>
      </c>
      <c r="F55" t="s">
        <v>29</v>
      </c>
      <c r="G55" s="1">
        <v>9588444</v>
      </c>
      <c r="H55" s="1">
        <v>20722667</v>
      </c>
    </row>
    <row r="56" spans="1:8" x14ac:dyDescent="0.55000000000000004">
      <c r="A56" t="s">
        <v>44</v>
      </c>
      <c r="B56">
        <v>2026</v>
      </c>
      <c r="C56" t="s">
        <v>9</v>
      </c>
      <c r="D56">
        <v>3</v>
      </c>
      <c r="E56" t="s">
        <v>30</v>
      </c>
      <c r="F56" t="s">
        <v>29</v>
      </c>
      <c r="G56" s="1">
        <v>3837111</v>
      </c>
      <c r="H56" s="1">
        <v>20722667</v>
      </c>
    </row>
    <row r="57" spans="1:8" x14ac:dyDescent="0.55000000000000004">
      <c r="A57" t="s">
        <v>44</v>
      </c>
      <c r="B57">
        <v>2026</v>
      </c>
      <c r="C57" t="s">
        <v>9</v>
      </c>
      <c r="D57">
        <v>3</v>
      </c>
      <c r="E57" t="s">
        <v>31</v>
      </c>
      <c r="F57" t="s">
        <v>29</v>
      </c>
      <c r="G57" s="1">
        <v>2549333</v>
      </c>
      <c r="H57" s="1">
        <v>20722667</v>
      </c>
    </row>
    <row r="58" spans="1:8" x14ac:dyDescent="0.55000000000000004">
      <c r="A58" t="s">
        <v>44</v>
      </c>
      <c r="B58">
        <v>2026</v>
      </c>
      <c r="C58" t="s">
        <v>9</v>
      </c>
      <c r="D58">
        <v>3</v>
      </c>
      <c r="E58" t="s">
        <v>32</v>
      </c>
      <c r="F58" t="s">
        <v>29</v>
      </c>
      <c r="G58" s="1">
        <v>4450000</v>
      </c>
      <c r="H58" s="1">
        <v>20722667</v>
      </c>
    </row>
    <row r="59" spans="1:8" x14ac:dyDescent="0.55000000000000004">
      <c r="A59" t="s">
        <v>44</v>
      </c>
      <c r="B59">
        <v>2026</v>
      </c>
      <c r="C59" t="s">
        <v>9</v>
      </c>
      <c r="D59">
        <v>3</v>
      </c>
      <c r="E59" t="s">
        <v>33</v>
      </c>
      <c r="F59" t="s">
        <v>29</v>
      </c>
      <c r="G59" s="1">
        <v>297778</v>
      </c>
      <c r="H59" s="1">
        <v>20722667</v>
      </c>
    </row>
    <row r="60" spans="1:8" x14ac:dyDescent="0.55000000000000004">
      <c r="A60" t="s">
        <v>8</v>
      </c>
      <c r="B60">
        <v>2026</v>
      </c>
      <c r="C60" t="s">
        <v>9</v>
      </c>
      <c r="D60">
        <v>1</v>
      </c>
      <c r="E60" t="s">
        <v>34</v>
      </c>
      <c r="F60" t="s">
        <v>35</v>
      </c>
      <c r="G60">
        <v>0</v>
      </c>
      <c r="H60" s="1">
        <v>1746759</v>
      </c>
    </row>
    <row r="61" spans="1:8" x14ac:dyDescent="0.55000000000000004">
      <c r="A61" t="s">
        <v>8</v>
      </c>
      <c r="B61">
        <v>2026</v>
      </c>
      <c r="C61" t="s">
        <v>9</v>
      </c>
      <c r="D61">
        <v>1</v>
      </c>
      <c r="E61" t="s">
        <v>36</v>
      </c>
      <c r="F61" t="s">
        <v>35</v>
      </c>
      <c r="G61">
        <v>0</v>
      </c>
      <c r="H61" s="1">
        <v>1746759</v>
      </c>
    </row>
    <row r="62" spans="1:8" x14ac:dyDescent="0.55000000000000004">
      <c r="A62" t="s">
        <v>8</v>
      </c>
      <c r="B62">
        <v>2026</v>
      </c>
      <c r="C62" t="s">
        <v>9</v>
      </c>
      <c r="D62">
        <v>1</v>
      </c>
      <c r="E62" t="s">
        <v>37</v>
      </c>
      <c r="F62" t="s">
        <v>35</v>
      </c>
      <c r="G62" s="1">
        <v>279500</v>
      </c>
      <c r="H62" s="1">
        <v>1746759</v>
      </c>
    </row>
    <row r="63" spans="1:8" x14ac:dyDescent="0.55000000000000004">
      <c r="A63" t="s">
        <v>8</v>
      </c>
      <c r="B63">
        <v>2026</v>
      </c>
      <c r="C63" t="s">
        <v>9</v>
      </c>
      <c r="D63">
        <v>1</v>
      </c>
      <c r="E63" t="s">
        <v>38</v>
      </c>
      <c r="F63" t="s">
        <v>35</v>
      </c>
      <c r="G63" s="1">
        <v>1196667</v>
      </c>
      <c r="H63" s="1">
        <v>1746759</v>
      </c>
    </row>
    <row r="64" spans="1:8" x14ac:dyDescent="0.55000000000000004">
      <c r="A64" t="s">
        <v>8</v>
      </c>
      <c r="B64">
        <v>2026</v>
      </c>
      <c r="C64" t="s">
        <v>9</v>
      </c>
      <c r="D64">
        <v>1</v>
      </c>
      <c r="E64" t="s">
        <v>39</v>
      </c>
      <c r="F64" t="s">
        <v>35</v>
      </c>
      <c r="G64" s="1">
        <v>270370</v>
      </c>
      <c r="H64" s="1">
        <v>1746759</v>
      </c>
    </row>
    <row r="65" spans="1:8" x14ac:dyDescent="0.55000000000000004">
      <c r="A65" t="s">
        <v>8</v>
      </c>
      <c r="B65">
        <v>2026</v>
      </c>
      <c r="C65" t="s">
        <v>9</v>
      </c>
      <c r="D65">
        <v>1</v>
      </c>
      <c r="E65" t="s">
        <v>40</v>
      </c>
      <c r="F65" t="s">
        <v>35</v>
      </c>
      <c r="G65">
        <v>222</v>
      </c>
      <c r="H65" s="1">
        <v>1746759</v>
      </c>
    </row>
    <row r="66" spans="1:8" x14ac:dyDescent="0.55000000000000004">
      <c r="A66" t="s">
        <v>41</v>
      </c>
      <c r="B66">
        <v>2026</v>
      </c>
      <c r="C66" t="s">
        <v>9</v>
      </c>
      <c r="D66">
        <v>2</v>
      </c>
      <c r="E66" t="s">
        <v>34</v>
      </c>
      <c r="F66" t="s">
        <v>35</v>
      </c>
      <c r="G66" s="1">
        <v>348444</v>
      </c>
      <c r="H66" s="1">
        <v>19350833</v>
      </c>
    </row>
    <row r="67" spans="1:8" x14ac:dyDescent="0.55000000000000004">
      <c r="A67" t="s">
        <v>41</v>
      </c>
      <c r="B67">
        <v>2026</v>
      </c>
      <c r="C67" t="s">
        <v>9</v>
      </c>
      <c r="D67">
        <v>2</v>
      </c>
      <c r="E67" t="s">
        <v>36</v>
      </c>
      <c r="F67" t="s">
        <v>35</v>
      </c>
      <c r="G67" s="1">
        <v>1583667</v>
      </c>
      <c r="H67" s="1">
        <v>19350833</v>
      </c>
    </row>
    <row r="68" spans="1:8" x14ac:dyDescent="0.55000000000000004">
      <c r="A68" t="s">
        <v>41</v>
      </c>
      <c r="B68">
        <v>2026</v>
      </c>
      <c r="C68" t="s">
        <v>9</v>
      </c>
      <c r="D68">
        <v>2</v>
      </c>
      <c r="E68" t="s">
        <v>37</v>
      </c>
      <c r="F68" t="s">
        <v>35</v>
      </c>
      <c r="G68" s="1">
        <v>1211167</v>
      </c>
      <c r="H68" s="1">
        <v>19350833</v>
      </c>
    </row>
    <row r="69" spans="1:8" x14ac:dyDescent="0.55000000000000004">
      <c r="A69" t="s">
        <v>41</v>
      </c>
      <c r="B69">
        <v>2026</v>
      </c>
      <c r="C69" t="s">
        <v>9</v>
      </c>
      <c r="D69">
        <v>2</v>
      </c>
      <c r="E69" t="s">
        <v>38</v>
      </c>
      <c r="F69" t="s">
        <v>35</v>
      </c>
      <c r="G69" s="1">
        <v>15437000</v>
      </c>
      <c r="H69" s="1">
        <v>19350833</v>
      </c>
    </row>
    <row r="70" spans="1:8" x14ac:dyDescent="0.55000000000000004">
      <c r="A70" t="s">
        <v>41</v>
      </c>
      <c r="B70">
        <v>2026</v>
      </c>
      <c r="C70" t="s">
        <v>9</v>
      </c>
      <c r="D70">
        <v>2</v>
      </c>
      <c r="E70" t="s">
        <v>39</v>
      </c>
      <c r="F70" t="s">
        <v>35</v>
      </c>
      <c r="G70" s="1">
        <v>770556</v>
      </c>
      <c r="H70" s="1">
        <v>19350833</v>
      </c>
    </row>
    <row r="71" spans="1:8" x14ac:dyDescent="0.55000000000000004">
      <c r="A71" t="s">
        <v>44</v>
      </c>
      <c r="B71">
        <v>2026</v>
      </c>
      <c r="C71" t="s">
        <v>9</v>
      </c>
      <c r="D71">
        <v>3</v>
      </c>
      <c r="E71" t="s">
        <v>36</v>
      </c>
      <c r="F71" t="s">
        <v>35</v>
      </c>
      <c r="G71">
        <v>0</v>
      </c>
      <c r="H71" s="1">
        <v>7811222</v>
      </c>
    </row>
    <row r="72" spans="1:8" x14ac:dyDescent="0.55000000000000004">
      <c r="A72" t="s">
        <v>44</v>
      </c>
      <c r="B72">
        <v>2026</v>
      </c>
      <c r="C72" t="s">
        <v>9</v>
      </c>
      <c r="D72">
        <v>3</v>
      </c>
      <c r="E72" t="s">
        <v>37</v>
      </c>
      <c r="F72" t="s">
        <v>35</v>
      </c>
      <c r="G72" s="1">
        <v>372667</v>
      </c>
      <c r="H72" s="1">
        <v>7811222</v>
      </c>
    </row>
    <row r="73" spans="1:8" x14ac:dyDescent="0.55000000000000004">
      <c r="A73" t="s">
        <v>44</v>
      </c>
      <c r="B73">
        <v>2026</v>
      </c>
      <c r="C73" t="s">
        <v>9</v>
      </c>
      <c r="D73">
        <v>3</v>
      </c>
      <c r="E73" t="s">
        <v>39</v>
      </c>
      <c r="F73" t="s">
        <v>35</v>
      </c>
      <c r="G73" s="1">
        <v>1135556</v>
      </c>
      <c r="H73" s="1">
        <v>7811222</v>
      </c>
    </row>
    <row r="74" spans="1:8" x14ac:dyDescent="0.55000000000000004">
      <c r="A74" t="s">
        <v>44</v>
      </c>
      <c r="B74">
        <v>2026</v>
      </c>
      <c r="C74" t="s">
        <v>9</v>
      </c>
      <c r="D74">
        <v>3</v>
      </c>
      <c r="E74" t="s">
        <v>40</v>
      </c>
      <c r="F74" t="s">
        <v>35</v>
      </c>
      <c r="G74" s="1">
        <v>80333</v>
      </c>
      <c r="H74" s="1">
        <v>7811222</v>
      </c>
    </row>
    <row r="75" spans="1:8" x14ac:dyDescent="0.55000000000000004">
      <c r="A75" t="s">
        <v>44</v>
      </c>
      <c r="B75">
        <v>2026</v>
      </c>
      <c r="C75" t="s">
        <v>9</v>
      </c>
      <c r="D75">
        <v>3</v>
      </c>
      <c r="E75" t="s">
        <v>38</v>
      </c>
      <c r="F75" t="s">
        <v>35</v>
      </c>
      <c r="G75" s="1">
        <v>6222667</v>
      </c>
      <c r="H75" s="1">
        <v>7811222</v>
      </c>
    </row>
  </sheetData>
  <sortState xmlns:xlrd2="http://schemas.microsoft.com/office/spreadsheetml/2017/richdata2" ref="A2:H75">
    <sortCondition ref="F2:F7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LFS Abundances for Spatial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Witt, Adam</cp:lastModifiedBy>
  <dcterms:created xsi:type="dcterms:W3CDTF">2026-02-12T00:52:23Z</dcterms:created>
  <dcterms:modified xsi:type="dcterms:W3CDTF">2026-02-15T17:11:14Z</dcterms:modified>
</cp:coreProperties>
</file>