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Model\DataExternal\20260324\"/>
    </mc:Choice>
  </mc:AlternateContent>
  <xr:revisionPtr revIDLastSave="0" documentId="13_ncr:1_{06A34DEB-D120-460E-B658-C3B3A0E0E156}" xr6:coauthVersionLast="47" xr6:coauthVersionMax="47" xr10:uidLastSave="{00000000-0000-0000-0000-000000000000}"/>
  <bookViews>
    <workbookView xWindow="22932" yWindow="-108" windowWidth="30936" windowHeight="16776" tabRatio="730" activeTab="6" xr2:uid="{F4ABB958-1465-40BE-9892-13FA47FA3211}"/>
  </bookViews>
  <sheets>
    <sheet name="README" sheetId="7" r:id="rId1"/>
    <sheet name="ForZOI" sheetId="9" r:id="rId2"/>
    <sheet name="plot_example" sheetId="2" r:id="rId3"/>
    <sheet name="03_25_OMRI-2000" sheetId="6" r:id="rId4"/>
    <sheet name="03_25_OMRI -3500" sheetId="4" r:id="rId5"/>
    <sheet name="03_25_OMRI -5000" sheetId="5" r:id="rId6"/>
    <sheet name="03_25_OMRI -6500" sheetId="3" r:id="rId7"/>
    <sheet name="DSM2_Historic_data" sheetId="10" r:id="rId8"/>
    <sheet name="OMR Summary" sheetId="8" r:id="rId9"/>
  </sheets>
  <definedNames>
    <definedName name="_Ref217293357" localSheetId="1">ForZOI!$B$1</definedName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6" i="5" l="1"/>
  <c r="J56" i="5"/>
  <c r="I56" i="5"/>
  <c r="H56" i="5"/>
  <c r="G56" i="5"/>
  <c r="F56" i="5"/>
  <c r="E56" i="5"/>
  <c r="D56" i="5"/>
  <c r="C56" i="5"/>
  <c r="B56" i="5"/>
  <c r="K56" i="3"/>
  <c r="J56" i="3"/>
  <c r="I56" i="3"/>
  <c r="H56" i="3"/>
  <c r="G56" i="3"/>
  <c r="F56" i="3"/>
  <c r="E56" i="3"/>
  <c r="D56" i="3"/>
  <c r="C56" i="3"/>
  <c r="B56" i="3"/>
  <c r="K56" i="4"/>
  <c r="J56" i="4"/>
  <c r="I56" i="4"/>
  <c r="H56" i="4"/>
  <c r="G56" i="4"/>
  <c r="F56" i="4"/>
  <c r="E56" i="4"/>
  <c r="D56" i="4"/>
  <c r="C56" i="4"/>
  <c r="B56" i="4"/>
  <c r="B56" i="6"/>
  <c r="C56" i="6"/>
  <c r="D56" i="6"/>
  <c r="E56" i="6"/>
  <c r="F56" i="6"/>
  <c r="G56" i="6"/>
  <c r="H56" i="6"/>
  <c r="I56" i="6"/>
  <c r="J56" i="6"/>
  <c r="K56" i="6"/>
  <c r="G50" i="5"/>
  <c r="G51" i="5" s="1"/>
  <c r="G52" i="5" s="1"/>
  <c r="G53" i="5" s="1"/>
  <c r="G54" i="5" s="1"/>
  <c r="G55" i="5" s="1"/>
  <c r="F50" i="5"/>
  <c r="F51" i="5" s="1"/>
  <c r="F52" i="5" s="1"/>
  <c r="F53" i="5" s="1"/>
  <c r="F54" i="5" s="1"/>
  <c r="F55" i="5" s="1"/>
  <c r="K49" i="5"/>
  <c r="K50" i="5" s="1"/>
  <c r="K51" i="5" s="1"/>
  <c r="K52" i="5" s="1"/>
  <c r="K53" i="5" s="1"/>
  <c r="K54" i="5" s="1"/>
  <c r="K55" i="5" s="1"/>
  <c r="J49" i="5"/>
  <c r="J50" i="5" s="1"/>
  <c r="J51" i="5" s="1"/>
  <c r="J52" i="5" s="1"/>
  <c r="J53" i="5" s="1"/>
  <c r="J54" i="5" s="1"/>
  <c r="J55" i="5" s="1"/>
  <c r="I49" i="5"/>
  <c r="I50" i="5" s="1"/>
  <c r="I51" i="5" s="1"/>
  <c r="I52" i="5" s="1"/>
  <c r="I53" i="5" s="1"/>
  <c r="I54" i="5" s="1"/>
  <c r="I55" i="5" s="1"/>
  <c r="H49" i="5"/>
  <c r="H50" i="5" s="1"/>
  <c r="H51" i="5" s="1"/>
  <c r="H52" i="5" s="1"/>
  <c r="H53" i="5" s="1"/>
  <c r="H54" i="5" s="1"/>
  <c r="H55" i="5" s="1"/>
  <c r="G49" i="5"/>
  <c r="F49" i="5"/>
  <c r="E49" i="5"/>
  <c r="E50" i="5" s="1"/>
  <c r="E51" i="5" s="1"/>
  <c r="E52" i="5" s="1"/>
  <c r="E53" i="5" s="1"/>
  <c r="E54" i="5" s="1"/>
  <c r="E55" i="5" s="1"/>
  <c r="D49" i="5"/>
  <c r="D50" i="5" s="1"/>
  <c r="D51" i="5" s="1"/>
  <c r="D52" i="5" s="1"/>
  <c r="D53" i="5" s="1"/>
  <c r="D54" i="5" s="1"/>
  <c r="D55" i="5" s="1"/>
  <c r="C49" i="5"/>
  <c r="C50" i="5" s="1"/>
  <c r="C51" i="5" s="1"/>
  <c r="C52" i="5" s="1"/>
  <c r="C53" i="5" s="1"/>
  <c r="C54" i="5" s="1"/>
  <c r="C55" i="5" s="1"/>
  <c r="B49" i="5"/>
  <c r="B50" i="5" s="1"/>
  <c r="B51" i="5" s="1"/>
  <c r="B52" i="5" s="1"/>
  <c r="B53" i="5" s="1"/>
  <c r="B54" i="5" s="1"/>
  <c r="B55" i="5" s="1"/>
  <c r="E50" i="3"/>
  <c r="E51" i="3" s="1"/>
  <c r="E52" i="3" s="1"/>
  <c r="E53" i="3" s="1"/>
  <c r="E54" i="3" s="1"/>
  <c r="E55" i="3" s="1"/>
  <c r="D50" i="3"/>
  <c r="D51" i="3" s="1"/>
  <c r="D52" i="3" s="1"/>
  <c r="D53" i="3" s="1"/>
  <c r="D54" i="3" s="1"/>
  <c r="D55" i="3" s="1"/>
  <c r="K49" i="3"/>
  <c r="K50" i="3" s="1"/>
  <c r="K51" i="3" s="1"/>
  <c r="K52" i="3" s="1"/>
  <c r="K53" i="3" s="1"/>
  <c r="K54" i="3" s="1"/>
  <c r="K55" i="3" s="1"/>
  <c r="J49" i="3"/>
  <c r="J50" i="3" s="1"/>
  <c r="J51" i="3" s="1"/>
  <c r="J52" i="3" s="1"/>
  <c r="J53" i="3" s="1"/>
  <c r="J54" i="3" s="1"/>
  <c r="J55" i="3" s="1"/>
  <c r="I49" i="3"/>
  <c r="I50" i="3" s="1"/>
  <c r="I51" i="3" s="1"/>
  <c r="I52" i="3" s="1"/>
  <c r="I53" i="3" s="1"/>
  <c r="I54" i="3" s="1"/>
  <c r="I55" i="3" s="1"/>
  <c r="H49" i="3"/>
  <c r="H50" i="3" s="1"/>
  <c r="H51" i="3" s="1"/>
  <c r="H52" i="3" s="1"/>
  <c r="H53" i="3" s="1"/>
  <c r="H54" i="3" s="1"/>
  <c r="H55" i="3" s="1"/>
  <c r="G49" i="3"/>
  <c r="G50" i="3" s="1"/>
  <c r="G51" i="3" s="1"/>
  <c r="G52" i="3" s="1"/>
  <c r="G53" i="3" s="1"/>
  <c r="G54" i="3" s="1"/>
  <c r="G55" i="3" s="1"/>
  <c r="F49" i="3"/>
  <c r="F50" i="3" s="1"/>
  <c r="F51" i="3" s="1"/>
  <c r="F52" i="3" s="1"/>
  <c r="F53" i="3" s="1"/>
  <c r="F54" i="3" s="1"/>
  <c r="F55" i="3" s="1"/>
  <c r="E49" i="3"/>
  <c r="D49" i="3"/>
  <c r="C49" i="3"/>
  <c r="C50" i="3" s="1"/>
  <c r="C51" i="3" s="1"/>
  <c r="C52" i="3" s="1"/>
  <c r="C53" i="3" s="1"/>
  <c r="C54" i="3" s="1"/>
  <c r="C55" i="3" s="1"/>
  <c r="B49" i="3"/>
  <c r="B50" i="3" s="1"/>
  <c r="B51" i="3" s="1"/>
  <c r="B52" i="3" s="1"/>
  <c r="B53" i="3" s="1"/>
  <c r="B54" i="3" s="1"/>
  <c r="B55" i="3" s="1"/>
  <c r="K50" i="4"/>
  <c r="K51" i="4" s="1"/>
  <c r="K52" i="4" s="1"/>
  <c r="K53" i="4" s="1"/>
  <c r="K54" i="4" s="1"/>
  <c r="K55" i="4" s="1"/>
  <c r="J50" i="4"/>
  <c r="J51" i="4" s="1"/>
  <c r="J52" i="4" s="1"/>
  <c r="J53" i="4" s="1"/>
  <c r="J54" i="4" s="1"/>
  <c r="J55" i="4" s="1"/>
  <c r="C50" i="4"/>
  <c r="C51" i="4" s="1"/>
  <c r="C52" i="4" s="1"/>
  <c r="C53" i="4" s="1"/>
  <c r="C54" i="4" s="1"/>
  <c r="C55" i="4" s="1"/>
  <c r="B50" i="4"/>
  <c r="B51" i="4" s="1"/>
  <c r="B52" i="4" s="1"/>
  <c r="B53" i="4" s="1"/>
  <c r="B54" i="4" s="1"/>
  <c r="B55" i="4" s="1"/>
  <c r="K49" i="4"/>
  <c r="J49" i="4"/>
  <c r="I49" i="4"/>
  <c r="I50" i="4" s="1"/>
  <c r="I51" i="4" s="1"/>
  <c r="I52" i="4" s="1"/>
  <c r="I53" i="4" s="1"/>
  <c r="I54" i="4" s="1"/>
  <c r="I55" i="4" s="1"/>
  <c r="H49" i="4"/>
  <c r="H50" i="4" s="1"/>
  <c r="H51" i="4" s="1"/>
  <c r="H52" i="4" s="1"/>
  <c r="H53" i="4" s="1"/>
  <c r="H54" i="4" s="1"/>
  <c r="H55" i="4" s="1"/>
  <c r="G49" i="4"/>
  <c r="G50" i="4" s="1"/>
  <c r="G51" i="4" s="1"/>
  <c r="G52" i="4" s="1"/>
  <c r="G53" i="4" s="1"/>
  <c r="G54" i="4" s="1"/>
  <c r="G55" i="4" s="1"/>
  <c r="F49" i="4"/>
  <c r="F50" i="4" s="1"/>
  <c r="F51" i="4" s="1"/>
  <c r="F52" i="4" s="1"/>
  <c r="F53" i="4" s="1"/>
  <c r="F54" i="4" s="1"/>
  <c r="F55" i="4" s="1"/>
  <c r="E49" i="4"/>
  <c r="E50" i="4" s="1"/>
  <c r="E51" i="4" s="1"/>
  <c r="E52" i="4" s="1"/>
  <c r="E53" i="4" s="1"/>
  <c r="E54" i="4" s="1"/>
  <c r="E55" i="4" s="1"/>
  <c r="D49" i="4"/>
  <c r="D50" i="4" s="1"/>
  <c r="D51" i="4" s="1"/>
  <c r="D52" i="4" s="1"/>
  <c r="D53" i="4" s="1"/>
  <c r="D54" i="4" s="1"/>
  <c r="D55" i="4" s="1"/>
  <c r="C49" i="4"/>
  <c r="B49" i="4"/>
  <c r="B50" i="6"/>
  <c r="C50" i="6"/>
  <c r="D50" i="6"/>
  <c r="E50" i="6"/>
  <c r="F50" i="6"/>
  <c r="G50" i="6"/>
  <c r="H50" i="6"/>
  <c r="I50" i="6"/>
  <c r="I51" i="6" s="1"/>
  <c r="I52" i="6" s="1"/>
  <c r="I53" i="6" s="1"/>
  <c r="I54" i="6" s="1"/>
  <c r="I55" i="6" s="1"/>
  <c r="J50" i="6"/>
  <c r="K50" i="6"/>
  <c r="B51" i="6"/>
  <c r="C51" i="6"/>
  <c r="D51" i="6"/>
  <c r="E51" i="6"/>
  <c r="F51" i="6"/>
  <c r="G51" i="6"/>
  <c r="H51" i="6"/>
  <c r="H52" i="6" s="1"/>
  <c r="H53" i="6" s="1"/>
  <c r="H54" i="6" s="1"/>
  <c r="H55" i="6" s="1"/>
  <c r="J51" i="6"/>
  <c r="K51" i="6"/>
  <c r="B52" i="6"/>
  <c r="C52" i="6"/>
  <c r="D52" i="6"/>
  <c r="E52" i="6"/>
  <c r="F52" i="6"/>
  <c r="F53" i="6" s="1"/>
  <c r="F54" i="6" s="1"/>
  <c r="F55" i="6" s="1"/>
  <c r="G52" i="6"/>
  <c r="J52" i="6"/>
  <c r="J53" i="6" s="1"/>
  <c r="J54" i="6" s="1"/>
  <c r="J55" i="6" s="1"/>
  <c r="K52" i="6"/>
  <c r="B53" i="6"/>
  <c r="C53" i="6"/>
  <c r="D53" i="6"/>
  <c r="D54" i="6" s="1"/>
  <c r="D55" i="6" s="1"/>
  <c r="E53" i="6"/>
  <c r="G53" i="6"/>
  <c r="K53" i="6"/>
  <c r="B54" i="6"/>
  <c r="B55" i="6" s="1"/>
  <c r="C54" i="6"/>
  <c r="E54" i="6"/>
  <c r="G54" i="6"/>
  <c r="G55" i="6" s="1"/>
  <c r="K54" i="6"/>
  <c r="C55" i="6"/>
  <c r="E55" i="6"/>
  <c r="K55" i="6"/>
  <c r="C49" i="6"/>
  <c r="D49" i="6"/>
  <c r="E49" i="6"/>
  <c r="F49" i="6"/>
  <c r="G49" i="6"/>
  <c r="H49" i="6"/>
  <c r="I49" i="6"/>
  <c r="J49" i="6"/>
  <c r="K49" i="6"/>
  <c r="B49" i="6"/>
  <c r="O4" i="2"/>
  <c r="O5" i="2"/>
  <c r="O6" i="2"/>
  <c r="O7" i="2"/>
  <c r="O8" i="2"/>
  <c r="O3" i="2"/>
  <c r="L4" i="2"/>
  <c r="L5" i="2"/>
  <c r="L6" i="2"/>
  <c r="L7" i="2"/>
  <c r="L8" i="2"/>
  <c r="L3" i="2"/>
  <c r="F4" i="2"/>
  <c r="F5" i="2"/>
  <c r="F6" i="2"/>
  <c r="F7" i="2"/>
  <c r="F8" i="2"/>
  <c r="F3" i="2"/>
  <c r="C4" i="2"/>
  <c r="C5" i="2"/>
  <c r="C6" i="2"/>
  <c r="C7" i="2"/>
  <c r="C8" i="2"/>
  <c r="C3" i="2"/>
  <c r="A3" i="10" l="1"/>
  <c r="A4" i="10" s="1"/>
  <c r="A5" i="10" s="1"/>
  <c r="A6" i="10" s="1"/>
  <c r="A7" i="10" s="1"/>
  <c r="A8" i="10" s="1"/>
  <c r="A9" i="10" s="1"/>
  <c r="A20" i="8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J8" i="2" s="1"/>
  <c r="H7" i="2"/>
  <c r="H6" i="2"/>
  <c r="H5" i="2"/>
  <c r="H4" i="2"/>
  <c r="H3" i="2"/>
  <c r="T42" i="2" s="1"/>
  <c r="T46" i="2" s="1"/>
  <c r="T50" i="2" s="1"/>
  <c r="N3" i="2"/>
  <c r="P3" i="2" s="1"/>
  <c r="W3" i="2"/>
  <c r="Y3" i="2" s="1"/>
  <c r="AF3" i="2"/>
  <c r="AH3" i="2" s="1"/>
  <c r="AO3" i="2"/>
  <c r="AQ3" i="2" s="1"/>
  <c r="AL3" i="2"/>
  <c r="AN3" i="2" s="1"/>
  <c r="AC3" i="2"/>
  <c r="AE3" i="2" s="1"/>
  <c r="T3" i="2"/>
  <c r="V3" i="2" s="1"/>
  <c r="K3" i="2"/>
  <c r="M3" i="2" s="1"/>
  <c r="AK8" i="2"/>
  <c r="AK7" i="2"/>
  <c r="AK6" i="2"/>
  <c r="AK5" i="2"/>
  <c r="AK4" i="2"/>
  <c r="AK3" i="2"/>
  <c r="AB8" i="2"/>
  <c r="AB7" i="2"/>
  <c r="AB6" i="2"/>
  <c r="AB5" i="2"/>
  <c r="AB4" i="2"/>
  <c r="AB3" i="2"/>
  <c r="S8" i="2"/>
  <c r="S7" i="2"/>
  <c r="S6" i="2"/>
  <c r="S5" i="2"/>
  <c r="S4" i="2"/>
  <c r="S3" i="2"/>
  <c r="J7" i="2"/>
  <c r="J6" i="2"/>
  <c r="J5" i="2"/>
  <c r="J4" i="2"/>
  <c r="J3" i="2"/>
  <c r="E3" i="2"/>
  <c r="G3" i="2" s="1"/>
  <c r="B3" i="2"/>
  <c r="D3" i="2" s="1"/>
  <c r="A7" i="8" l="1"/>
  <c r="A21" i="8" s="1"/>
  <c r="A4" i="2"/>
  <c r="AS3" i="2"/>
  <c r="AT3" i="2"/>
  <c r="AU3" i="2"/>
  <c r="AV3" i="2"/>
  <c r="J9" i="2"/>
  <c r="S9" i="2"/>
  <c r="AB9" i="2"/>
  <c r="AK9" i="2"/>
  <c r="J10" i="2"/>
  <c r="S10" i="2"/>
  <c r="AB10" i="2"/>
  <c r="AK10" i="2"/>
  <c r="J11" i="2"/>
  <c r="S11" i="2"/>
  <c r="AB11" i="2"/>
  <c r="AK11" i="2"/>
  <c r="J12" i="2"/>
  <c r="S12" i="2"/>
  <c r="AB12" i="2"/>
  <c r="AK12" i="2"/>
  <c r="J13" i="2"/>
  <c r="S13" i="2"/>
  <c r="AB13" i="2"/>
  <c r="AK13" i="2"/>
  <c r="J14" i="2"/>
  <c r="S14" i="2"/>
  <c r="AB14" i="2"/>
  <c r="AK14" i="2"/>
  <c r="J15" i="2"/>
  <c r="S15" i="2"/>
  <c r="AB15" i="2"/>
  <c r="AK15" i="2"/>
  <c r="J16" i="2"/>
  <c r="S16" i="2"/>
  <c r="AB16" i="2"/>
  <c r="AK16" i="2"/>
  <c r="J17" i="2"/>
  <c r="S17" i="2"/>
  <c r="AB17" i="2"/>
  <c r="AK17" i="2"/>
  <c r="J18" i="2"/>
  <c r="S18" i="2"/>
  <c r="AB18" i="2"/>
  <c r="AK18" i="2"/>
  <c r="J19" i="2"/>
  <c r="S19" i="2"/>
  <c r="AB19" i="2"/>
  <c r="AK19" i="2"/>
  <c r="J20" i="2"/>
  <c r="S20" i="2"/>
  <c r="AB20" i="2"/>
  <c r="AK20" i="2"/>
  <c r="J21" i="2"/>
  <c r="S21" i="2"/>
  <c r="AB21" i="2"/>
  <c r="AK21" i="2"/>
  <c r="J22" i="2"/>
  <c r="S22" i="2"/>
  <c r="AB22" i="2"/>
  <c r="AK22" i="2"/>
  <c r="J23" i="2"/>
  <c r="S23" i="2"/>
  <c r="AB23" i="2"/>
  <c r="AK23" i="2"/>
  <c r="J24" i="2"/>
  <c r="S24" i="2"/>
  <c r="AB24" i="2"/>
  <c r="AK24" i="2"/>
  <c r="A8" i="8" l="1"/>
  <c r="A22" i="8" s="1"/>
  <c r="N4" i="2"/>
  <c r="P4" i="2" s="1"/>
  <c r="W4" i="2"/>
  <c r="Y4" i="2" s="1"/>
  <c r="AC4" i="2"/>
  <c r="AE4" i="2" s="1"/>
  <c r="AL4" i="2"/>
  <c r="AN4" i="2" s="1"/>
  <c r="AO4" i="2"/>
  <c r="AQ4" i="2" s="1"/>
  <c r="K4" i="2"/>
  <c r="M4" i="2" s="1"/>
  <c r="AF4" i="2"/>
  <c r="AH4" i="2" s="1"/>
  <c r="T4" i="2"/>
  <c r="V4" i="2" s="1"/>
  <c r="A5" i="2"/>
  <c r="B4" i="2"/>
  <c r="D4" i="2" s="1"/>
  <c r="E4" i="2"/>
  <c r="G4" i="2" s="1"/>
  <c r="A9" i="8" l="1"/>
  <c r="A10" i="8" s="1"/>
  <c r="AC5" i="2"/>
  <c r="AE5" i="2" s="1"/>
  <c r="N5" i="2"/>
  <c r="P5" i="2" s="1"/>
  <c r="AL5" i="2"/>
  <c r="AN5" i="2" s="1"/>
  <c r="W5" i="2"/>
  <c r="Y5" i="2" s="1"/>
  <c r="AO5" i="2"/>
  <c r="AQ5" i="2" s="1"/>
  <c r="K5" i="2"/>
  <c r="M5" i="2" s="1"/>
  <c r="AF5" i="2"/>
  <c r="AH5" i="2" s="1"/>
  <c r="T5" i="2"/>
  <c r="V5" i="2" s="1"/>
  <c r="AS4" i="2"/>
  <c r="AT4" i="2"/>
  <c r="AU4" i="2"/>
  <c r="AV4" i="2"/>
  <c r="A6" i="2"/>
  <c r="E5" i="2"/>
  <c r="G5" i="2" s="1"/>
  <c r="B5" i="2"/>
  <c r="D5" i="2" s="1"/>
  <c r="A23" i="8" l="1"/>
  <c r="A11" i="8"/>
  <c r="A24" i="8"/>
  <c r="W6" i="2"/>
  <c r="Y6" i="2" s="1"/>
  <c r="AC6" i="2"/>
  <c r="AE6" i="2" s="1"/>
  <c r="N6" i="2"/>
  <c r="P6" i="2" s="1"/>
  <c r="AL6" i="2"/>
  <c r="AN6" i="2" s="1"/>
  <c r="T6" i="2"/>
  <c r="V6" i="2" s="1"/>
  <c r="AO6" i="2"/>
  <c r="AQ6" i="2" s="1"/>
  <c r="K6" i="2"/>
  <c r="M6" i="2" s="1"/>
  <c r="AF6" i="2"/>
  <c r="AH6" i="2" s="1"/>
  <c r="AT5" i="2"/>
  <c r="AU5" i="2"/>
  <c r="AS5" i="2"/>
  <c r="AV5" i="2"/>
  <c r="A7" i="2"/>
  <c r="B6" i="2"/>
  <c r="D6" i="2" s="1"/>
  <c r="E6" i="2"/>
  <c r="G6" i="2" s="1"/>
  <c r="A12" i="8" l="1"/>
  <c r="A26" i="8" s="1"/>
  <c r="A25" i="8"/>
  <c r="W7" i="2"/>
  <c r="Y7" i="2" s="1"/>
  <c r="AC7" i="2"/>
  <c r="AE7" i="2" s="1"/>
  <c r="AF7" i="2"/>
  <c r="AH7" i="2" s="1"/>
  <c r="N7" i="2"/>
  <c r="P7" i="2" s="1"/>
  <c r="AL7" i="2"/>
  <c r="AN7" i="2" s="1"/>
  <c r="AO7" i="2"/>
  <c r="AQ7" i="2" s="1"/>
  <c r="K7" i="2"/>
  <c r="M7" i="2" s="1"/>
  <c r="T7" i="2"/>
  <c r="V7" i="2" s="1"/>
  <c r="AS6" i="2"/>
  <c r="AV6" i="2"/>
  <c r="A8" i="2"/>
  <c r="E7" i="2"/>
  <c r="G7" i="2" s="1"/>
  <c r="B7" i="2"/>
  <c r="D7" i="2" s="1"/>
  <c r="AT6" i="2"/>
  <c r="AU6" i="2"/>
  <c r="AF8" i="2" l="1"/>
  <c r="AH8" i="2" s="1"/>
  <c r="T8" i="2"/>
  <c r="V8" i="2" s="1"/>
  <c r="W8" i="2"/>
  <c r="Y8" i="2" s="1"/>
  <c r="AC8" i="2"/>
  <c r="AE8" i="2" s="1"/>
  <c r="N8" i="2"/>
  <c r="P8" i="2" s="1"/>
  <c r="AL8" i="2"/>
  <c r="AN8" i="2" s="1"/>
  <c r="AO8" i="2"/>
  <c r="AQ8" i="2" s="1"/>
  <c r="K8" i="2"/>
  <c r="M8" i="2" s="1"/>
  <c r="AT7" i="2"/>
  <c r="AS7" i="2"/>
  <c r="AU7" i="2"/>
  <c r="AV7" i="2"/>
  <c r="A9" i="2"/>
  <c r="B8" i="2"/>
  <c r="D8" i="2" s="1"/>
  <c r="E8" i="2"/>
  <c r="G8" i="2" s="1"/>
  <c r="K9" i="2" l="1"/>
  <c r="M9" i="2" s="1"/>
  <c r="AF9" i="2"/>
  <c r="T9" i="2"/>
  <c r="AL9" i="2"/>
  <c r="W9" i="2"/>
  <c r="AC9" i="2"/>
  <c r="N9" i="2"/>
  <c r="U42" i="2" s="1"/>
  <c r="AO9" i="2"/>
  <c r="U45" i="2" s="1"/>
  <c r="AS8" i="2"/>
  <c r="AV8" i="2"/>
  <c r="B9" i="2"/>
  <c r="D9" i="2" s="1"/>
  <c r="E9" i="2"/>
  <c r="G9" i="2" s="1"/>
  <c r="A10" i="2"/>
  <c r="S35" i="2"/>
  <c r="B4" i="9" s="1"/>
  <c r="AT8" i="2"/>
  <c r="AU8" i="2"/>
  <c r="AO10" i="2" l="1"/>
  <c r="K10" i="2"/>
  <c r="AF10" i="2"/>
  <c r="T10" i="2"/>
  <c r="AL10" i="2"/>
  <c r="W10" i="2"/>
  <c r="AC10" i="2"/>
  <c r="N10" i="2"/>
  <c r="T35" i="2"/>
  <c r="AH9" i="2"/>
  <c r="AU9" i="2"/>
  <c r="U44" i="2"/>
  <c r="AT9" i="2"/>
  <c r="Y9" i="2"/>
  <c r="U43" i="2"/>
  <c r="B10" i="2"/>
  <c r="E10" i="2"/>
  <c r="A11" i="2"/>
  <c r="P9" i="2"/>
  <c r="AS9" i="2"/>
  <c r="AE9" i="2"/>
  <c r="V44" i="2"/>
  <c r="V9" i="2"/>
  <c r="V43" i="2"/>
  <c r="AV9" i="2"/>
  <c r="AQ9" i="2"/>
  <c r="AN9" i="2"/>
  <c r="V45" i="2"/>
  <c r="V42" i="2"/>
  <c r="V35" i="2"/>
  <c r="W35" i="2" l="1"/>
  <c r="F4" i="9" s="1"/>
  <c r="E4" i="9"/>
  <c r="U35" i="2"/>
  <c r="D4" i="9" s="1"/>
  <c r="C4" i="9"/>
  <c r="AL11" i="2"/>
  <c r="AN11" i="2" s="1"/>
  <c r="N11" i="2"/>
  <c r="AO11" i="2"/>
  <c r="K11" i="2"/>
  <c r="M11" i="2" s="1"/>
  <c r="T11" i="2"/>
  <c r="V11" i="2" s="1"/>
  <c r="AF11" i="2"/>
  <c r="W11" i="2"/>
  <c r="AC11" i="2"/>
  <c r="AE11" i="2" s="1"/>
  <c r="X43" i="2"/>
  <c r="P10" i="2"/>
  <c r="AS10" i="2"/>
  <c r="AE10" i="2"/>
  <c r="Y45" i="2"/>
  <c r="W45" i="2"/>
  <c r="W42" i="2"/>
  <c r="Y42" i="2"/>
  <c r="AN10" i="2"/>
  <c r="D10" i="2"/>
  <c r="G10" i="2"/>
  <c r="V10" i="2"/>
  <c r="M10" i="2"/>
  <c r="Y10" i="2"/>
  <c r="AT10" i="2"/>
  <c r="AQ10" i="2"/>
  <c r="AV10" i="2"/>
  <c r="AH10" i="2"/>
  <c r="AU10" i="2"/>
  <c r="W43" i="2"/>
  <c r="Y43" i="2"/>
  <c r="X42" i="2"/>
  <c r="W44" i="2"/>
  <c r="Y44" i="2"/>
  <c r="X45" i="2"/>
  <c r="X44" i="2"/>
  <c r="A12" i="2"/>
  <c r="B11" i="2"/>
  <c r="D11" i="2" s="1"/>
  <c r="E11" i="2"/>
  <c r="G11" i="2" s="1"/>
  <c r="X35" i="2" l="1"/>
  <c r="G4" i="9" s="1"/>
  <c r="N12" i="2"/>
  <c r="AL12" i="2"/>
  <c r="AN12" i="2" s="1"/>
  <c r="AO12" i="2"/>
  <c r="K12" i="2"/>
  <c r="M12" i="2" s="1"/>
  <c r="AF12" i="2"/>
  <c r="T12" i="2"/>
  <c r="W12" i="2"/>
  <c r="AC12" i="2"/>
  <c r="Y11" i="2"/>
  <c r="AT11" i="2"/>
  <c r="AH11" i="2"/>
  <c r="AU11" i="2"/>
  <c r="A13" i="2"/>
  <c r="B12" i="2"/>
  <c r="D12" i="2" s="1"/>
  <c r="E12" i="2"/>
  <c r="AS11" i="2"/>
  <c r="P11" i="2"/>
  <c r="AQ11" i="2"/>
  <c r="AV11" i="2"/>
  <c r="N13" i="2" l="1"/>
  <c r="AL13" i="2"/>
  <c r="AN13" i="2" s="1"/>
  <c r="AO13" i="2"/>
  <c r="K13" i="2"/>
  <c r="M13" i="2" s="1"/>
  <c r="T13" i="2"/>
  <c r="V13" i="2" s="1"/>
  <c r="AF13" i="2"/>
  <c r="W13" i="2"/>
  <c r="AC13" i="2"/>
  <c r="AE13" i="2" s="1"/>
  <c r="G12" i="2"/>
  <c r="V12" i="2"/>
  <c r="AU12" i="2"/>
  <c r="AH12" i="2"/>
  <c r="AS12" i="2"/>
  <c r="P12" i="2"/>
  <c r="AV12" i="2"/>
  <c r="AQ12" i="2"/>
  <c r="AE12" i="2"/>
  <c r="A14" i="2"/>
  <c r="B13" i="2"/>
  <c r="E13" i="2"/>
  <c r="G13" i="2" s="1"/>
  <c r="AT12" i="2"/>
  <c r="Y12" i="2"/>
  <c r="W14" i="2" l="1"/>
  <c r="AC14" i="2"/>
  <c r="AE14" i="2" s="1"/>
  <c r="AF14" i="2"/>
  <c r="T14" i="2"/>
  <c r="V14" i="2" s="1"/>
  <c r="N14" i="2"/>
  <c r="AL14" i="2"/>
  <c r="AN14" i="2" s="1"/>
  <c r="AO14" i="2"/>
  <c r="K14" i="2"/>
  <c r="M14" i="2" s="1"/>
  <c r="D13" i="2"/>
  <c r="A15" i="2"/>
  <c r="B14" i="2"/>
  <c r="D14" i="2" s="1"/>
  <c r="E14" i="2"/>
  <c r="G14" i="2" s="1"/>
  <c r="AU13" i="2"/>
  <c r="AH13" i="2"/>
  <c r="Y13" i="2"/>
  <c r="AT13" i="2"/>
  <c r="AS13" i="2"/>
  <c r="P13" i="2"/>
  <c r="AV13" i="2"/>
  <c r="AQ13" i="2"/>
  <c r="W15" i="2" l="1"/>
  <c r="AC15" i="2"/>
  <c r="K15" i="2"/>
  <c r="N15" i="2"/>
  <c r="T15" i="2"/>
  <c r="V15" i="2" s="1"/>
  <c r="AL15" i="2"/>
  <c r="AF15" i="2"/>
  <c r="AO15" i="2"/>
  <c r="AV14" i="2"/>
  <c r="AQ14" i="2"/>
  <c r="P14" i="2"/>
  <c r="AS14" i="2"/>
  <c r="AH14" i="2"/>
  <c r="AU14" i="2"/>
  <c r="Y14" i="2"/>
  <c r="AT14" i="2"/>
  <c r="A16" i="2"/>
  <c r="B15" i="2"/>
  <c r="D15" i="2" s="1"/>
  <c r="E15" i="2"/>
  <c r="AF16" i="2" l="1"/>
  <c r="T16" i="2"/>
  <c r="V16" i="2" s="1"/>
  <c r="AO16" i="2"/>
  <c r="W16" i="2"/>
  <c r="AC16" i="2"/>
  <c r="AE16" i="2" s="1"/>
  <c r="K16" i="2"/>
  <c r="M16" i="2" s="1"/>
  <c r="N16" i="2"/>
  <c r="AL16" i="2"/>
  <c r="AN16" i="2" s="1"/>
  <c r="G15" i="2"/>
  <c r="M15" i="2"/>
  <c r="Y15" i="2"/>
  <c r="AT15" i="2"/>
  <c r="AN15" i="2"/>
  <c r="AE15" i="2"/>
  <c r="A17" i="2"/>
  <c r="E16" i="2"/>
  <c r="G16" i="2" s="1"/>
  <c r="B16" i="2"/>
  <c r="D16" i="2" s="1"/>
  <c r="S36" i="2"/>
  <c r="B5" i="9" s="1"/>
  <c r="P15" i="2"/>
  <c r="AS15" i="2"/>
  <c r="AH15" i="2"/>
  <c r="AU15" i="2"/>
  <c r="AV15" i="2"/>
  <c r="AQ15" i="2"/>
  <c r="K17" i="2" l="1"/>
  <c r="M17" i="2" s="1"/>
  <c r="AF17" i="2"/>
  <c r="T17" i="2"/>
  <c r="V17" i="2" s="1"/>
  <c r="AC17" i="2"/>
  <c r="AE17" i="2" s="1"/>
  <c r="AO17" i="2"/>
  <c r="W17" i="2"/>
  <c r="AL17" i="2"/>
  <c r="AN17" i="2" s="1"/>
  <c r="N17" i="2"/>
  <c r="AS16" i="2"/>
  <c r="P16" i="2"/>
  <c r="U46" i="2"/>
  <c r="AU16" i="2"/>
  <c r="AH16" i="2"/>
  <c r="V47" i="2"/>
  <c r="T36" i="2"/>
  <c r="AV16" i="2"/>
  <c r="AQ16" i="2"/>
  <c r="E17" i="2"/>
  <c r="G17" i="2" s="1"/>
  <c r="B17" i="2"/>
  <c r="D17" i="2" s="1"/>
  <c r="A18" i="2"/>
  <c r="U49" i="2"/>
  <c r="V49" i="2"/>
  <c r="U48" i="2"/>
  <c r="V46" i="2"/>
  <c r="V36" i="2"/>
  <c r="AT16" i="2"/>
  <c r="Y16" i="2"/>
  <c r="U47" i="2"/>
  <c r="V48" i="2"/>
  <c r="U36" i="2" l="1"/>
  <c r="D5" i="9" s="1"/>
  <c r="C5" i="9"/>
  <c r="W36" i="2"/>
  <c r="F5" i="9" s="1"/>
  <c r="E5" i="9"/>
  <c r="AO18" i="2"/>
  <c r="K18" i="2"/>
  <c r="AF18" i="2"/>
  <c r="T18" i="2"/>
  <c r="W18" i="2"/>
  <c r="AC18" i="2"/>
  <c r="AL18" i="2"/>
  <c r="N18" i="2"/>
  <c r="X46" i="2"/>
  <c r="X47" i="2"/>
  <c r="X49" i="2"/>
  <c r="W47" i="2"/>
  <c r="Y47" i="2"/>
  <c r="AS17" i="2"/>
  <c r="P17" i="2"/>
  <c r="AV17" i="2"/>
  <c r="AQ17" i="2"/>
  <c r="AU17" i="2"/>
  <c r="AH17" i="2"/>
  <c r="Y17" i="2"/>
  <c r="AT17" i="2"/>
  <c r="W48" i="2"/>
  <c r="Y48" i="2"/>
  <c r="W46" i="2"/>
  <c r="Y46" i="2"/>
  <c r="X48" i="2"/>
  <c r="A19" i="2"/>
  <c r="E18" i="2"/>
  <c r="B18" i="2"/>
  <c r="Y49" i="2"/>
  <c r="W49" i="2"/>
  <c r="X36" i="2" l="1"/>
  <c r="G5" i="9" s="1"/>
  <c r="AL19" i="2"/>
  <c r="AN19" i="2" s="1"/>
  <c r="AO19" i="2"/>
  <c r="K19" i="2"/>
  <c r="M19" i="2" s="1"/>
  <c r="T19" i="2"/>
  <c r="V19" i="2" s="1"/>
  <c r="AF19" i="2"/>
  <c r="AC19" i="2"/>
  <c r="AE19" i="2" s="1"/>
  <c r="N19" i="2"/>
  <c r="W19" i="2"/>
  <c r="G18" i="2"/>
  <c r="AU18" i="2"/>
  <c r="AH18" i="2"/>
  <c r="V18" i="2"/>
  <c r="AE18" i="2"/>
  <c r="Y18" i="2"/>
  <c r="AT18" i="2"/>
  <c r="A20" i="2"/>
  <c r="B19" i="2"/>
  <c r="D19" i="2" s="1"/>
  <c r="E19" i="2"/>
  <c r="G19" i="2" s="1"/>
  <c r="P18" i="2"/>
  <c r="AS18" i="2"/>
  <c r="AN18" i="2"/>
  <c r="AQ18" i="2"/>
  <c r="AV18" i="2"/>
  <c r="M18" i="2"/>
  <c r="D18" i="2"/>
  <c r="N20" i="2" l="1"/>
  <c r="AL20" i="2"/>
  <c r="AN20" i="2" s="1"/>
  <c r="AO20" i="2"/>
  <c r="K20" i="2"/>
  <c r="M20" i="2" s="1"/>
  <c r="W20" i="2"/>
  <c r="AF20" i="2"/>
  <c r="T20" i="2"/>
  <c r="V20" i="2" s="1"/>
  <c r="AC20" i="2"/>
  <c r="AU19" i="2"/>
  <c r="AH19" i="2"/>
  <c r="Y19" i="2"/>
  <c r="AT19" i="2"/>
  <c r="A21" i="2"/>
  <c r="B20" i="2"/>
  <c r="D20" i="2" s="1"/>
  <c r="E20" i="2"/>
  <c r="G20" i="2" s="1"/>
  <c r="AQ19" i="2"/>
  <c r="AV19" i="2"/>
  <c r="P19" i="2"/>
  <c r="AS19" i="2"/>
  <c r="N21" i="2" l="1"/>
  <c r="AL21" i="2"/>
  <c r="AN21" i="2" s="1"/>
  <c r="AO21" i="2"/>
  <c r="AC21" i="2"/>
  <c r="AE21" i="2" s="1"/>
  <c r="W21" i="2"/>
  <c r="K21" i="2"/>
  <c r="M21" i="2" s="1"/>
  <c r="AF21" i="2"/>
  <c r="T21" i="2"/>
  <c r="V21" i="2" s="1"/>
  <c r="AE20" i="2"/>
  <c r="A22" i="2"/>
  <c r="B21" i="2"/>
  <c r="D21" i="2" s="1"/>
  <c r="E21" i="2"/>
  <c r="G21" i="2" s="1"/>
  <c r="Y20" i="2"/>
  <c r="AT20" i="2"/>
  <c r="AQ20" i="2"/>
  <c r="AV20" i="2"/>
  <c r="AH20" i="2"/>
  <c r="AU20" i="2"/>
  <c r="AS20" i="2"/>
  <c r="P20" i="2"/>
  <c r="W22" i="2" l="1"/>
  <c r="AC22" i="2"/>
  <c r="AE22" i="2" s="1"/>
  <c r="N22" i="2"/>
  <c r="AL22" i="2"/>
  <c r="AN22" i="2" s="1"/>
  <c r="T22" i="2"/>
  <c r="V22" i="2" s="1"/>
  <c r="AO22" i="2"/>
  <c r="K22" i="2"/>
  <c r="M22" i="2" s="1"/>
  <c r="AF22" i="2"/>
  <c r="AU21" i="2"/>
  <c r="AH21" i="2"/>
  <c r="AS21" i="2"/>
  <c r="P21" i="2"/>
  <c r="AQ21" i="2"/>
  <c r="AV21" i="2"/>
  <c r="AT21" i="2"/>
  <c r="Y21" i="2"/>
  <c r="A23" i="2"/>
  <c r="E22" i="2"/>
  <c r="G22" i="2" s="1"/>
  <c r="B22" i="2"/>
  <c r="D22" i="2" s="1"/>
  <c r="AF23" i="2" l="1"/>
  <c r="T23" i="2"/>
  <c r="V23" i="2" s="1"/>
  <c r="W23" i="2"/>
  <c r="AC23" i="2"/>
  <c r="AE23" i="2" s="1"/>
  <c r="N23" i="2"/>
  <c r="AL23" i="2"/>
  <c r="AN23" i="2" s="1"/>
  <c r="AO23" i="2"/>
  <c r="K23" i="2"/>
  <c r="M23" i="2" s="1"/>
  <c r="AQ22" i="2"/>
  <c r="AV22" i="2"/>
  <c r="AU22" i="2"/>
  <c r="AH22" i="2"/>
  <c r="AT22" i="2"/>
  <c r="Y22" i="2"/>
  <c r="P22" i="2"/>
  <c r="AS22" i="2"/>
  <c r="A24" i="2"/>
  <c r="B23" i="2"/>
  <c r="D23" i="2" s="1"/>
  <c r="E23" i="2"/>
  <c r="S37" i="2"/>
  <c r="B6" i="9" s="1"/>
  <c r="AF24" i="2" l="1"/>
  <c r="U52" i="2" s="1"/>
  <c r="T24" i="2"/>
  <c r="V51" i="2" s="1"/>
  <c r="W24" i="2"/>
  <c r="U51" i="2" s="1"/>
  <c r="AC24" i="2"/>
  <c r="V52" i="2" s="1"/>
  <c r="N24" i="2"/>
  <c r="U50" i="2" s="1"/>
  <c r="AL24" i="2"/>
  <c r="V53" i="2" s="1"/>
  <c r="K24" i="2"/>
  <c r="V50" i="2" s="1"/>
  <c r="AO24" i="2"/>
  <c r="U53" i="2" s="1"/>
  <c r="G23" i="2"/>
  <c r="AH23" i="2"/>
  <c r="AU23" i="2"/>
  <c r="AT23" i="2"/>
  <c r="Y23" i="2"/>
  <c r="AQ23" i="2"/>
  <c r="AV23" i="2"/>
  <c r="P23" i="2"/>
  <c r="AS23" i="2"/>
  <c r="E24" i="2"/>
  <c r="G24" i="2" s="1"/>
  <c r="B24" i="2"/>
  <c r="D24" i="2" s="1"/>
  <c r="W50" i="2" l="1"/>
  <c r="Y50" i="2"/>
  <c r="X50" i="2"/>
  <c r="T37" i="2"/>
  <c r="V37" i="2"/>
  <c r="Y24" i="2"/>
  <c r="AT24" i="2"/>
  <c r="W25" i="2"/>
  <c r="AE24" i="2"/>
  <c r="AC25" i="2"/>
  <c r="M24" i="2"/>
  <c r="K25" i="2"/>
  <c r="AH24" i="2"/>
  <c r="AU24" i="2"/>
  <c r="AF25" i="2"/>
  <c r="V24" i="2"/>
  <c r="T25" i="2"/>
  <c r="AN24" i="2"/>
  <c r="AL25" i="2"/>
  <c r="P24" i="2"/>
  <c r="AS24" i="2"/>
  <c r="N25" i="2"/>
  <c r="AQ24" i="2"/>
  <c r="AV24" i="2"/>
  <c r="AO25" i="2"/>
  <c r="W37" i="2" l="1"/>
  <c r="F6" i="9" s="1"/>
  <c r="E6" i="9"/>
  <c r="U37" i="2"/>
  <c r="D6" i="9" s="1"/>
  <c r="C6" i="9"/>
  <c r="X51" i="2"/>
  <c r="W51" i="2"/>
  <c r="Y51" i="2"/>
  <c r="X37" i="2" l="1"/>
  <c r="G6" i="9" s="1"/>
  <c r="W53" i="2"/>
  <c r="X53" i="2"/>
  <c r="Y53" i="2"/>
  <c r="X52" i="2"/>
  <c r="Y52" i="2"/>
  <c r="W52" i="2"/>
</calcChain>
</file>

<file path=xl/sharedStrings.xml><?xml version="1.0" encoding="utf-8"?>
<sst xmlns="http://schemas.openxmlformats.org/spreadsheetml/2006/main" count="403" uniqueCount="81">
  <si>
    <t>cfs</t>
  </si>
  <si>
    <t>tpp/ccf</t>
  </si>
  <si>
    <t>FPT</t>
  </si>
  <si>
    <t>FPT Measured</t>
  </si>
  <si>
    <t>FPT Forecast</t>
  </si>
  <si>
    <t>VNS Measured</t>
  </si>
  <si>
    <t>VNS Forecast</t>
  </si>
  <si>
    <t>OMR (cfs)</t>
  </si>
  <si>
    <t xml:space="preserve">  </t>
  </si>
  <si>
    <t>Sacramento River at Freeport (cfs)</t>
  </si>
  <si>
    <t>San Joaquin River at Vernalis (cfs)</t>
  </si>
  <si>
    <t>med</t>
  </si>
  <si>
    <t>hi</t>
  </si>
  <si>
    <t>OMR Bins</t>
  </si>
  <si>
    <t>CVP Exports (% of total)</t>
  </si>
  <si>
    <t>SWP Exports (% of total))</t>
  </si>
  <si>
    <t>Week 1</t>
  </si>
  <si>
    <t>Week 2</t>
  </si>
  <si>
    <t>Week 3</t>
  </si>
  <si>
    <t>VNS</t>
  </si>
  <si>
    <t>Forecast start date</t>
  </si>
  <si>
    <t>VNS-QR</t>
  </si>
  <si>
    <t>FPT-QR</t>
  </si>
  <si>
    <t>data type</t>
  </si>
  <si>
    <t>Data request:</t>
  </si>
  <si>
    <t>af</t>
  </si>
  <si>
    <t xml:space="preserve">31 days of historical measured data prior to forecast date </t>
  </si>
  <si>
    <t>DATE</t>
  </si>
  <si>
    <t>CCF</t>
  </si>
  <si>
    <t>TPP</t>
  </si>
  <si>
    <t>CAL</t>
  </si>
  <si>
    <t>MOKE</t>
  </si>
  <si>
    <t>COS</t>
  </si>
  <si>
    <t>SACWEIR</t>
  </si>
  <si>
    <t>FREWEIR</t>
  </si>
  <si>
    <t>14 days of forecast data after forecast date</t>
  </si>
  <si>
    <t>Measured</t>
  </si>
  <si>
    <t>Forecasted</t>
  </si>
  <si>
    <t>lo</t>
  </si>
  <si>
    <t>&lt;=</t>
  </si>
  <si>
    <t>&gt;=</t>
  </si>
  <si>
    <t>Flow bin</t>
  </si>
  <si>
    <t>Thresholds</t>
  </si>
  <si>
    <t>This worksheet is used to develop input data for DSM2 and for the weekly real-time assessment summary report.</t>
  </si>
  <si>
    <t>Workflow:</t>
  </si>
  <si>
    <t>Adam copies flow_export_review.xlsx from previous week into current week input folder</t>
  </si>
  <si>
    <t>Adam copies csv data provided by CVO into the four data sheets in this folder and renames them to match CVO sheet names</t>
  </si>
  <si>
    <t>Adam updates cell A3 in plot_example worksheet to align with forecast start date for current week</t>
  </si>
  <si>
    <t>If necessary, Adam extends data in each sheet by copying the last day and repeating that value into the future up to 3 weeks after the forecast start date</t>
  </si>
  <si>
    <t>Figures and tables from plot_example are copied over to the current week's real-time assessment</t>
  </si>
  <si>
    <t>Adam sends weekly flow value and flow bin categories to Roja for ZOI plot labels</t>
  </si>
  <si>
    <t>CCF (cfs)</t>
  </si>
  <si>
    <t>TPP (cfs)</t>
  </si>
  <si>
    <t>OMR = -2,000</t>
  </si>
  <si>
    <t>OMR = -3,500</t>
  </si>
  <si>
    <t>OMR = -5,000</t>
  </si>
  <si>
    <t>CVP Exports (cfs)</t>
  </si>
  <si>
    <t>SWP Exports (cfs)</t>
  </si>
  <si>
    <t>Total Exports (cfs)</t>
  </si>
  <si>
    <t>Daily OMR less than -3500</t>
  </si>
  <si>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</si>
  <si>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</si>
  <si>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</si>
  <si>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</si>
  <si>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</si>
  <si>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</si>
  <si>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Daily OMR less than -5000</t>
  </si>
  <si>
    <t>Reclamation Forecast Flow and Export Data</t>
  </si>
  <si>
    <t>Weekly Averaged Forecasted Flow Data and Flow Bins:</t>
  </si>
  <si>
    <t>Forecast Week</t>
  </si>
  <si>
    <t>Sac Flow Bin</t>
  </si>
  <si>
    <t>SJR Flow Bin</t>
  </si>
  <si>
    <t>Delta Inflow Bin</t>
  </si>
  <si>
    <t>Daily OMR less than -6500</t>
  </si>
  <si>
    <t>OMR = -6,500</t>
  </si>
  <si>
    <t>Thuy Washburn at CVO sends Adam Witt four csv files with measured and forecast data based on four OMR scenarios (-6,500, -5,000, -3,500, -2000)</t>
  </si>
  <si>
    <t>CCF Measured</t>
  </si>
  <si>
    <t>TPP Measured</t>
  </si>
  <si>
    <t>Date</t>
  </si>
  <si>
    <t>Data from CVO OMR Summary Starting</t>
  </si>
  <si>
    <t>Data from individual OMRI csv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</si>
</sst>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color theme="1"/>
      <name val="Aptos Narrow"/>
      <family val="2"/>
      <scheme val="minor"/>
    </font>
    <font>
      <b/>
      <sz val="16"/>
      <color theme="1"/>
      <name val="Amasis MT Pro"/>
      <family val="1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5" fillId="0" borderId="20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21" applyNumberFormat="0" applyAlignment="0" applyProtection="0"/>
    <xf numFmtId="0" fontId="20" fillId="11" borderId="22" applyNumberFormat="0" applyAlignment="0" applyProtection="0"/>
    <xf numFmtId="0" fontId="21" fillId="11" borderId="21" applyNumberFormat="0" applyAlignment="0" applyProtection="0"/>
    <xf numFmtId="0" fontId="22" fillId="0" borderId="23" applyNumberFormat="0" applyFill="0" applyAlignment="0" applyProtection="0"/>
    <xf numFmtId="0" fontId="23" fillId="12" borderId="24" applyNumberFormat="0" applyAlignment="0" applyProtection="0"/>
    <xf numFmtId="0" fontId="24" fillId="0" borderId="0" applyNumberFormat="0" applyFill="0" applyBorder="0" applyAlignment="0" applyProtection="0"/>
    <xf numFmtId="0" fontId="11" fillId="13" borderId="25" applyNumberFormat="0" applyFont="0" applyAlignment="0" applyProtection="0"/>
    <xf numFmtId="0" fontId="25" fillId="0" borderId="0" applyNumberFormat="0" applyFill="0" applyBorder="0" applyAlignment="0" applyProtection="0"/>
    <xf numFmtId="0" fontId="8" fillId="0" borderId="26" applyNumberFormat="0" applyFill="0" applyAlignment="0" applyProtection="0"/>
    <xf numFmtId="0" fontId="26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26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26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26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26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26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</cellStyleXfs>
  <cellXfs count="82">
    <xf numFmtId="0" fontId="0" fillId="0" borderId="0" xfId="0"/>
    <xf numFmtId="0" fontId="1" fillId="0" borderId="0" xfId="1"/>
    <xf numFmtId="0" fontId="2" fillId="0" borderId="0" xfId="1" applyFont="1"/>
    <xf numFmtId="0" fontId="3" fillId="0" borderId="2" xfId="1" applyFont="1" applyBorder="1" applyAlignment="1">
      <alignment horizontal="center"/>
    </xf>
    <xf numFmtId="0" fontId="3" fillId="0" borderId="0" xfId="1" applyFont="1"/>
    <xf numFmtId="0" fontId="1" fillId="0" borderId="6" xfId="1" applyBorder="1"/>
    <xf numFmtId="14" fontId="1" fillId="0" borderId="0" xfId="1" applyNumberFormat="1"/>
    <xf numFmtId="0" fontId="4" fillId="0" borderId="5" xfId="1" applyFont="1" applyBorder="1"/>
    <xf numFmtId="0" fontId="4" fillId="0" borderId="0" xfId="1" applyFont="1"/>
    <xf numFmtId="1" fontId="2" fillId="3" borderId="0" xfId="2" applyNumberFormat="1" applyFill="1" applyAlignment="1">
      <alignment horizontal="center"/>
    </xf>
    <xf numFmtId="1" fontId="2" fillId="0" borderId="0" xfId="2" applyNumberFormat="1"/>
    <xf numFmtId="1" fontId="2" fillId="0" borderId="5" xfId="2" applyNumberFormat="1" applyBorder="1"/>
    <xf numFmtId="9" fontId="0" fillId="0" borderId="0" xfId="3" applyFont="1"/>
    <xf numFmtId="0" fontId="4" fillId="2" borderId="5" xfId="1" applyFont="1" applyFill="1" applyBorder="1"/>
    <xf numFmtId="0" fontId="4" fillId="2" borderId="0" xfId="1" applyFont="1" applyFill="1"/>
    <xf numFmtId="1" fontId="2" fillId="4" borderId="0" xfId="2" applyNumberFormat="1" applyFill="1" applyAlignment="1">
      <alignment horizontal="center"/>
    </xf>
    <xf numFmtId="1" fontId="2" fillId="2" borderId="0" xfId="2" applyNumberFormat="1" applyFill="1"/>
    <xf numFmtId="1" fontId="2" fillId="2" borderId="5" xfId="2" applyNumberFormat="1" applyFill="1" applyBorder="1"/>
    <xf numFmtId="0" fontId="4" fillId="2" borderId="7" xfId="1" applyFont="1" applyFill="1" applyBorder="1"/>
    <xf numFmtId="0" fontId="1" fillId="0" borderId="7" xfId="1" applyBorder="1"/>
    <xf numFmtId="0" fontId="1" fillId="0" borderId="8" xfId="1" applyBorder="1"/>
    <xf numFmtId="1" fontId="2" fillId="2" borderId="9" xfId="2" applyNumberFormat="1" applyFill="1" applyBorder="1"/>
    <xf numFmtId="0" fontId="1" fillId="0" borderId="11" xfId="1" applyBorder="1"/>
    <xf numFmtId="0" fontId="3" fillId="0" borderId="1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3" fontId="3" fillId="0" borderId="8" xfId="1" applyNumberFormat="1" applyFont="1" applyBorder="1" applyAlignment="1">
      <alignment vertical="center" wrapText="1"/>
    </xf>
    <xf numFmtId="3" fontId="2" fillId="0" borderId="8" xfId="1" applyNumberFormat="1" applyFont="1" applyBorder="1" applyAlignment="1">
      <alignment vertical="center" wrapText="1"/>
    </xf>
    <xf numFmtId="9" fontId="2" fillId="0" borderId="8" xfId="3" applyFont="1" applyBorder="1" applyAlignment="1">
      <alignment vertical="center" wrapText="1"/>
    </xf>
    <xf numFmtId="9" fontId="2" fillId="0" borderId="10" xfId="3" applyFont="1" applyBorder="1" applyAlignment="1">
      <alignment vertical="center" wrapText="1"/>
    </xf>
    <xf numFmtId="3" fontId="2" fillId="0" borderId="0" xfId="1" applyNumberFormat="1" applyFont="1" applyAlignment="1">
      <alignment vertical="center" wrapText="1"/>
    </xf>
    <xf numFmtId="0" fontId="7" fillId="0" borderId="0" xfId="1" applyFont="1" applyAlignment="1">
      <alignment vertical="center"/>
    </xf>
    <xf numFmtId="14" fontId="0" fillId="0" borderId="0" xfId="0" applyNumberFormat="1"/>
    <xf numFmtId="0" fontId="6" fillId="0" borderId="0" xfId="1" applyFont="1" applyAlignment="1">
      <alignment horizontal="center" vertical="center" wrapText="1"/>
    </xf>
    <xf numFmtId="3" fontId="6" fillId="0" borderId="0" xfId="1" applyNumberFormat="1" applyFont="1" applyAlignment="1">
      <alignment vertical="center" wrapText="1"/>
    </xf>
    <xf numFmtId="3" fontId="6" fillId="0" borderId="0" xfId="1" applyNumberFormat="1" applyFont="1" applyAlignment="1">
      <alignment horizontal="center" vertical="center" wrapText="1"/>
    </xf>
    <xf numFmtId="9" fontId="0" fillId="0" borderId="0" xfId="3" applyFont="1" applyBorder="1"/>
    <xf numFmtId="0" fontId="3" fillId="0" borderId="12" xfId="1" applyFont="1" applyBorder="1" applyAlignment="1">
      <alignment horizontal="right" vertical="center"/>
    </xf>
    <xf numFmtId="0" fontId="3" fillId="0" borderId="3" xfId="1" applyFont="1" applyBorder="1" applyAlignment="1">
      <alignment horizontal="left" vertical="center"/>
    </xf>
    <xf numFmtId="0" fontId="1" fillId="0" borderId="0" xfId="1" applyAlignment="1">
      <alignment horizontal="center"/>
    </xf>
    <xf numFmtId="0" fontId="3" fillId="0" borderId="11" xfId="1" applyFont="1" applyBorder="1" applyAlignment="1">
      <alignment horizontal="center"/>
    </xf>
    <xf numFmtId="0" fontId="1" fillId="0" borderId="11" xfId="1" applyBorder="1" applyAlignment="1">
      <alignment horizontal="center"/>
    </xf>
    <xf numFmtId="3" fontId="1" fillId="0" borderId="11" xfId="1" applyNumberFormat="1" applyBorder="1" applyAlignment="1">
      <alignment horizontal="center"/>
    </xf>
    <xf numFmtId="0" fontId="2" fillId="0" borderId="11" xfId="1" applyFont="1" applyBorder="1" applyAlignment="1">
      <alignment horizontal="center"/>
    </xf>
    <xf numFmtId="1" fontId="4" fillId="0" borderId="5" xfId="1" applyNumberFormat="1" applyFont="1" applyBorder="1"/>
    <xf numFmtId="14" fontId="1" fillId="5" borderId="0" xfId="1" applyNumberFormat="1" applyFill="1"/>
    <xf numFmtId="0" fontId="8" fillId="0" borderId="0" xfId="0" applyFont="1"/>
    <xf numFmtId="1" fontId="1" fillId="0" borderId="0" xfId="1" applyNumberFormat="1"/>
    <xf numFmtId="3" fontId="1" fillId="0" borderId="11" xfId="1" applyNumberFormat="1" applyBorder="1" applyAlignment="1">
      <alignment horizontal="center" vertical="center"/>
    </xf>
    <xf numFmtId="0" fontId="3" fillId="0" borderId="11" xfId="1" applyFont="1" applyBorder="1" applyAlignment="1">
      <alignment horizontal="center" vertical="center" wrapText="1"/>
    </xf>
    <xf numFmtId="0" fontId="1" fillId="0" borderId="11" xfId="1" applyBorder="1" applyAlignment="1">
      <alignment horizontal="left" vertical="center"/>
    </xf>
    <xf numFmtId="0" fontId="0" fillId="6" borderId="0" xfId="0" applyFill="1"/>
    <xf numFmtId="0" fontId="9" fillId="6" borderId="15" xfId="0" applyFont="1" applyFill="1" applyBorder="1" applyAlignment="1">
      <alignment vertical="center"/>
    </xf>
    <xf numFmtId="0" fontId="0" fillId="6" borderId="15" xfId="0" applyFill="1" applyBorder="1"/>
    <xf numFmtId="0" fontId="10" fillId="6" borderId="16" xfId="0" applyFont="1" applyFill="1" applyBorder="1" applyAlignment="1">
      <alignment vertical="center"/>
    </xf>
    <xf numFmtId="0" fontId="0" fillId="6" borderId="16" xfId="0" applyFill="1" applyBorder="1"/>
    <xf numFmtId="0" fontId="3" fillId="5" borderId="0" xfId="1" applyFont="1" applyFill="1" applyAlignment="1">
      <alignment horizontal="center" wrapText="1"/>
    </xf>
    <xf numFmtId="0" fontId="3" fillId="5" borderId="0" xfId="1" applyFont="1" applyFill="1" applyAlignment="1">
      <alignment wrapText="1"/>
    </xf>
    <xf numFmtId="0" fontId="1" fillId="0" borderId="0" xfId="1" applyAlignment="1">
      <alignment wrapText="1"/>
    </xf>
    <xf numFmtId="0" fontId="3" fillId="2" borderId="4" xfId="1" applyFont="1" applyFill="1" applyBorder="1" applyAlignment="1">
      <alignment horizontal="center" wrapText="1"/>
    </xf>
    <xf numFmtId="0" fontId="3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1" fillId="0" borderId="5" xfId="1" applyBorder="1" applyAlignment="1">
      <alignment wrapText="1"/>
    </xf>
    <xf numFmtId="0" fontId="1" fillId="0" borderId="6" xfId="1" applyBorder="1" applyAlignment="1">
      <alignment wrapText="1"/>
    </xf>
    <xf numFmtId="3" fontId="0" fillId="0" borderId="0" xfId="0" applyNumberFormat="1"/>
    <xf numFmtId="14" fontId="0" fillId="5" borderId="0" xfId="0" applyNumberFormat="1" applyFill="1"/>
    <xf numFmtId="1" fontId="1" fillId="0" borderId="7" xfId="1" applyNumberFormat="1" applyBorder="1"/>
    <xf numFmtId="1" fontId="1" fillId="0" borderId="6" xfId="1" applyNumberFormat="1" applyBorder="1"/>
    <xf numFmtId="1" fontId="1" fillId="0" borderId="8" xfId="1" applyNumberFormat="1" applyBorder="1"/>
    <xf numFmtId="1" fontId="4" fillId="2" borderId="5" xfId="1" applyNumberFormat="1" applyFont="1" applyFill="1" applyBorder="1"/>
    <xf numFmtId="1" fontId="4" fillId="2" borderId="9" xfId="1" applyNumberFormat="1" applyFont="1" applyFill="1" applyBorder="1"/>
    <xf numFmtId="1" fontId="2" fillId="2" borderId="7" xfId="2" applyNumberFormat="1" applyFill="1" applyBorder="1"/>
    <xf numFmtId="3" fontId="4" fillId="5" borderId="17" xfId="1" applyNumberFormat="1" applyFont="1" applyFill="1" applyBorder="1"/>
    <xf numFmtId="0" fontId="2" fillId="0" borderId="13" xfId="1" applyFont="1" applyBorder="1" applyAlignment="1">
      <alignment vertical="center" wrapText="1"/>
    </xf>
    <xf numFmtId="0" fontId="2" fillId="0" borderId="14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5" fillId="0" borderId="0" xfId="1" applyFont="1" applyAlignment="1">
      <alignment horizontal="center" vertical="center" wrapText="1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 xr:uid="{DF0C3969-9EAB-42A3-AD31-7C6ED5B7FEB8}"/>
    <cellStyle name="Normal 2 2" xfId="2" xr:uid="{E15EE27C-3BB1-4C8A-ACB0-9165F3AF305F}"/>
    <cellStyle name="Note" xfId="18" builtinId="10" customBuiltin="1"/>
    <cellStyle name="Output" xfId="13" builtinId="21" customBuiltin="1"/>
    <cellStyle name="Percent 2" xfId="3" xr:uid="{E8C02EEE-7CE8-438B-B260-5887B1AC520F}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Delta Inflow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0.22712346906772959"/>
          <c:w val="0.83558377914579507"/>
          <c:h val="0.50598672291067825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>
                  <a:lumMod val="75000"/>
                  <a:lumOff val="25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plot_example!$C$3:$C$24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2-4BC5-B82C-8B6179501141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0">
                  <c:v>18400</c:v>
                </c:pt>
                <c:pt idx="1">
                  <c:v>17028</c:v>
                </c:pt>
                <c:pt idx="2">
                  <c:v>15383</c:v>
                </c:pt>
                <c:pt idx="3">
                  <c:v>14049</c:v>
                </c:pt>
                <c:pt idx="4">
                  <c:v>13460</c:v>
                </c:pt>
                <c:pt idx="5">
                  <c:v>13111</c:v>
                </c:pt>
                <c:pt idx="6">
                  <c:v>12833</c:v>
                </c:pt>
                <c:pt idx="7">
                  <c:v>12668</c:v>
                </c:pt>
                <c:pt idx="8">
                  <c:v>12665</c:v>
                </c:pt>
                <c:pt idx="9">
                  <c:v>12975</c:v>
                </c:pt>
                <c:pt idx="10">
                  <c:v>13907</c:v>
                </c:pt>
                <c:pt idx="11">
                  <c:v>13000</c:v>
                </c:pt>
                <c:pt idx="12">
                  <c:v>12000</c:v>
                </c:pt>
                <c:pt idx="13">
                  <c:v>11000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E2-4BC5-B82C-8B6179501141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plot_example!$F$3:$F$24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E2-4BC5-B82C-8B6179501141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0">
                  <c:v>2683</c:v>
                </c:pt>
                <c:pt idx="1">
                  <c:v>2420</c:v>
                </c:pt>
                <c:pt idx="2">
                  <c:v>2218</c:v>
                </c:pt>
                <c:pt idx="3">
                  <c:v>2068</c:v>
                </c:pt>
                <c:pt idx="4">
                  <c:v>1959</c:v>
                </c:pt>
                <c:pt idx="5">
                  <c:v>1894</c:v>
                </c:pt>
                <c:pt idx="6">
                  <c:v>1894</c:v>
                </c:pt>
                <c:pt idx="7">
                  <c:v>1894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2000</c:v>
                </c:pt>
                <c:pt idx="13">
                  <c:v>2000</c:v>
                </c:pt>
                <c:pt idx="14">
                  <c:v>2000</c:v>
                </c:pt>
                <c:pt idx="15">
                  <c:v>2000</c:v>
                </c:pt>
                <c:pt idx="16">
                  <c:v>2000</c:v>
                </c:pt>
                <c:pt idx="17">
                  <c:v>2000</c:v>
                </c:pt>
                <c:pt idx="18">
                  <c:v>2000</c:v>
                </c:pt>
                <c:pt idx="19">
                  <c:v>2000</c:v>
                </c:pt>
                <c:pt idx="20">
                  <c:v>2000</c:v>
                </c:pt>
                <c:pt idx="21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E2-4BC5-B82C-8B6179501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51974802678405474"/>
              <c:y val="0.92284943903668459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71919930345944E-4"/>
              <c:y val="0.31558484088224081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8511295841386076E-2"/>
          <c:y val="0.10370384269547132"/>
          <c:w val="0.82202673648857372"/>
          <c:h val="0.10506155435027398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plot_example!$P$3:$P$24</c:f>
              <c:numCache>
                <c:formatCode>0</c:formatCode>
                <c:ptCount val="22"/>
                <c:pt idx="0">
                  <c:v>3499.4949494949497</c:v>
                </c:pt>
                <c:pt idx="1">
                  <c:v>3499.4949494949497</c:v>
                </c:pt>
                <c:pt idx="2">
                  <c:v>3499.4949494949497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4207.575757575758</c:v>
                </c:pt>
                <c:pt idx="12">
                  <c:v>4207.575757575758</c:v>
                </c:pt>
                <c:pt idx="13">
                  <c:v>4207.575757575758</c:v>
                </c:pt>
                <c:pt idx="14">
                  <c:v>4207.575757575758</c:v>
                </c:pt>
                <c:pt idx="15">
                  <c:v>4207.575757575758</c:v>
                </c:pt>
                <c:pt idx="16">
                  <c:v>4207.575757575758</c:v>
                </c:pt>
                <c:pt idx="17">
                  <c:v>4207.575757575758</c:v>
                </c:pt>
                <c:pt idx="18">
                  <c:v>4207.575757575758</c:v>
                </c:pt>
                <c:pt idx="19">
                  <c:v>4207.575757575758</c:v>
                </c:pt>
                <c:pt idx="20">
                  <c:v>4207.575757575758</c:v>
                </c:pt>
                <c:pt idx="21">
                  <c:v>4207.575757575758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A97-4556-B8AE-18FE764DF340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plot_example!$Y$3:$Y$24</c:f>
              <c:numCache>
                <c:formatCode>0</c:formatCode>
                <c:ptCount val="22"/>
                <c:pt idx="0">
                  <c:v>3499.4949494949497</c:v>
                </c:pt>
                <c:pt idx="1">
                  <c:v>3499.4949494949497</c:v>
                </c:pt>
                <c:pt idx="2">
                  <c:v>3499.4949494949497</c:v>
                </c:pt>
                <c:pt idx="3">
                  <c:v>3506.060606060606</c:v>
                </c:pt>
                <c:pt idx="4">
                  <c:v>3506.060606060606</c:v>
                </c:pt>
                <c:pt idx="5">
                  <c:v>3506.060606060606</c:v>
                </c:pt>
                <c:pt idx="6">
                  <c:v>3506.060606060606</c:v>
                </c:pt>
                <c:pt idx="7">
                  <c:v>3506.060606060606</c:v>
                </c:pt>
                <c:pt idx="8">
                  <c:v>3506.060606060606</c:v>
                </c:pt>
                <c:pt idx="9">
                  <c:v>3506.060606060606</c:v>
                </c:pt>
                <c:pt idx="10">
                  <c:v>3506.060606060606</c:v>
                </c:pt>
                <c:pt idx="11">
                  <c:v>3506.060606060606</c:v>
                </c:pt>
                <c:pt idx="12">
                  <c:v>3506.060606060606</c:v>
                </c:pt>
                <c:pt idx="13">
                  <c:v>3506.060606060606</c:v>
                </c:pt>
                <c:pt idx="14">
                  <c:v>3506.060606060606</c:v>
                </c:pt>
                <c:pt idx="15">
                  <c:v>3506.060606060606</c:v>
                </c:pt>
                <c:pt idx="16">
                  <c:v>3506.060606060606</c:v>
                </c:pt>
                <c:pt idx="17">
                  <c:v>3506.060606060606</c:v>
                </c:pt>
                <c:pt idx="18">
                  <c:v>3506.060606060606</c:v>
                </c:pt>
                <c:pt idx="19">
                  <c:v>3506.060606060606</c:v>
                </c:pt>
                <c:pt idx="20">
                  <c:v>3506.060606060606</c:v>
                </c:pt>
                <c:pt idx="21">
                  <c:v>3506.060606060606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A97-4556-B8AE-18FE764DF340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plot_example!$AH$3:$AH$24</c:f>
              <c:numCache>
                <c:formatCode>0</c:formatCode>
                <c:ptCount val="22"/>
                <c:pt idx="0">
                  <c:v>3499.4949494949497</c:v>
                </c:pt>
                <c:pt idx="1">
                  <c:v>3499.4949494949497</c:v>
                </c:pt>
                <c:pt idx="2">
                  <c:v>3499.4949494949497</c:v>
                </c:pt>
                <c:pt idx="3">
                  <c:v>2704.5454545454545</c:v>
                </c:pt>
                <c:pt idx="4">
                  <c:v>2704.5454545454545</c:v>
                </c:pt>
                <c:pt idx="5">
                  <c:v>2704.5454545454545</c:v>
                </c:pt>
                <c:pt idx="6">
                  <c:v>2704.5454545454545</c:v>
                </c:pt>
                <c:pt idx="7">
                  <c:v>2704.5454545454545</c:v>
                </c:pt>
                <c:pt idx="8">
                  <c:v>2704.5454545454545</c:v>
                </c:pt>
                <c:pt idx="9">
                  <c:v>2704.5454545454545</c:v>
                </c:pt>
                <c:pt idx="10">
                  <c:v>2704.5454545454545</c:v>
                </c:pt>
                <c:pt idx="11">
                  <c:v>2704.5454545454545</c:v>
                </c:pt>
                <c:pt idx="12">
                  <c:v>2704.5454545454545</c:v>
                </c:pt>
                <c:pt idx="13">
                  <c:v>2704.5454545454545</c:v>
                </c:pt>
                <c:pt idx="14">
                  <c:v>2704.5454545454545</c:v>
                </c:pt>
                <c:pt idx="15">
                  <c:v>2704.5454545454545</c:v>
                </c:pt>
                <c:pt idx="16">
                  <c:v>2704.5454545454545</c:v>
                </c:pt>
                <c:pt idx="17">
                  <c:v>2704.5454545454545</c:v>
                </c:pt>
                <c:pt idx="18">
                  <c:v>2704.5454545454545</c:v>
                </c:pt>
                <c:pt idx="19">
                  <c:v>2704.5454545454545</c:v>
                </c:pt>
                <c:pt idx="20">
                  <c:v>2704.5454545454545</c:v>
                </c:pt>
                <c:pt idx="21">
                  <c:v>2704.5454545454545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A97-4556-B8AE-18FE764DF340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plot_example!$AQ$3:$AQ$24</c:f>
              <c:numCache>
                <c:formatCode>0</c:formatCode>
                <c:ptCount val="22"/>
                <c:pt idx="0">
                  <c:v>3499.4949494949497</c:v>
                </c:pt>
                <c:pt idx="1">
                  <c:v>3499.4949494949497</c:v>
                </c:pt>
                <c:pt idx="2">
                  <c:v>3499.4949494949497</c:v>
                </c:pt>
                <c:pt idx="3">
                  <c:v>1803.030303030303</c:v>
                </c:pt>
                <c:pt idx="4">
                  <c:v>1803.030303030303</c:v>
                </c:pt>
                <c:pt idx="5">
                  <c:v>1803.030303030303</c:v>
                </c:pt>
                <c:pt idx="6">
                  <c:v>1803.030303030303</c:v>
                </c:pt>
                <c:pt idx="7">
                  <c:v>1803.030303030303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1803.030303030303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A97-4556-B8AE-18FE764DF340}"/>
            </c:ext>
          </c:extLst>
        </c:ser>
        <c:ser>
          <c:idx val="3"/>
          <c:order val="4"/>
          <c:tx>
            <c:v>Measured</c:v>
          </c:tx>
          <c:spPr>
            <a:ln w="5715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plot_example!$O$3:$O$24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65-4C17-8FD5-12CC5F6A6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8730722095232849"/>
          <c:h val="8.3346869388563408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plot_example!$M$3:$M$24</c:f>
              <c:numCache>
                <c:formatCode>0</c:formatCode>
                <c:ptCount val="22"/>
                <c:pt idx="0">
                  <c:v>3205.0505050505049</c:v>
                </c:pt>
                <c:pt idx="1">
                  <c:v>4608.0808080808083</c:v>
                </c:pt>
                <c:pt idx="2">
                  <c:v>4407.575757575758</c:v>
                </c:pt>
                <c:pt idx="3">
                  <c:v>3606.5656565656568</c:v>
                </c:pt>
                <c:pt idx="4">
                  <c:v>3506.060606060606</c:v>
                </c:pt>
                <c:pt idx="5">
                  <c:v>3506.060606060606</c:v>
                </c:pt>
                <c:pt idx="6">
                  <c:v>3406.060606060606</c:v>
                </c:pt>
                <c:pt idx="7">
                  <c:v>3406.060606060606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C-495D-8C8D-C6807750138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plot_example!$V$3:$V$24</c:f>
              <c:numCache>
                <c:formatCode>0</c:formatCode>
                <c:ptCount val="22"/>
                <c:pt idx="0">
                  <c:v>3205.0505050505049</c:v>
                </c:pt>
                <c:pt idx="1">
                  <c:v>2905.0505050505049</c:v>
                </c:pt>
                <c:pt idx="2">
                  <c:v>2805.0505050505049</c:v>
                </c:pt>
                <c:pt idx="3">
                  <c:v>2704.5454545454545</c:v>
                </c:pt>
                <c:pt idx="4">
                  <c:v>2604.5454545454545</c:v>
                </c:pt>
                <c:pt idx="5">
                  <c:v>2504.5454545454545</c:v>
                </c:pt>
                <c:pt idx="6">
                  <c:v>2504.5454545454545</c:v>
                </c:pt>
                <c:pt idx="7">
                  <c:v>2504.5454545454545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1C-495D-8C8D-C6807750138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plot_example!$AE$3:$AE$24</c:f>
              <c:numCache>
                <c:formatCode>0</c:formatCode>
                <c:ptCount val="22"/>
                <c:pt idx="0">
                  <c:v>3205.0505050505049</c:v>
                </c:pt>
                <c:pt idx="1">
                  <c:v>1302.5252525252524</c:v>
                </c:pt>
                <c:pt idx="2">
                  <c:v>1102.0202020202021</c:v>
                </c:pt>
                <c:pt idx="3">
                  <c:v>1803.030303030303</c:v>
                </c:pt>
                <c:pt idx="4">
                  <c:v>1703.030303030303</c:v>
                </c:pt>
                <c:pt idx="5">
                  <c:v>1703.030303030303</c:v>
                </c:pt>
                <c:pt idx="6">
                  <c:v>1703.030303030303</c:v>
                </c:pt>
                <c:pt idx="7">
                  <c:v>1603.030303030303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1C-495D-8C8D-C6807750138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plot_example!$AN$3:$AN$24</c:f>
              <c:numCache>
                <c:formatCode>0</c:formatCode>
                <c:ptCount val="22"/>
                <c:pt idx="0">
                  <c:v>3205.0505050505049</c:v>
                </c:pt>
                <c:pt idx="1">
                  <c:v>300.50505050505052</c:v>
                </c:pt>
                <c:pt idx="2">
                  <c:v>300.50505050505052</c:v>
                </c:pt>
                <c:pt idx="3">
                  <c:v>1102.0202020202021</c:v>
                </c:pt>
                <c:pt idx="4">
                  <c:v>1002.0202020202021</c:v>
                </c:pt>
                <c:pt idx="5">
                  <c:v>901.5151515151515</c:v>
                </c:pt>
                <c:pt idx="6">
                  <c:v>901.5151515151515</c:v>
                </c:pt>
                <c:pt idx="7">
                  <c:v>901.5151515151515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1C-495D-8C8D-C6807750138D}"/>
            </c:ext>
          </c:extLst>
        </c:ser>
        <c:ser>
          <c:idx val="3"/>
          <c:order val="4"/>
          <c:tx>
            <c:v>Measured</c:v>
          </c:tx>
          <c:spPr>
            <a:ln w="5715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plot_example!$L$3:$L$24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78-406A-AE2E-BA4FFE66C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87307221697553217"/>
          <c:h val="8.5619977336855807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46106</c:v>
                </c:pt>
                <c:pt idx="1">
                  <c:v>46107</c:v>
                </c:pt>
                <c:pt idx="2">
                  <c:v>46108</c:v>
                </c:pt>
                <c:pt idx="3">
                  <c:v>46109</c:v>
                </c:pt>
                <c:pt idx="4">
                  <c:v>46110</c:v>
                </c:pt>
                <c:pt idx="5">
                  <c:v>46111</c:v>
                </c:pt>
                <c:pt idx="6">
                  <c:v>46112</c:v>
                </c:pt>
              </c:numCache>
            </c:numRef>
          </c:cat>
          <c:val>
            <c:numRef>
              <c:f>'OMR Summary'!$F$20:$F$26</c:f>
              <c:numCache>
                <c:formatCode>#,##0</c:formatCode>
                <c:ptCount val="7"/>
                <c:pt idx="0">
                  <c:v>3500</c:v>
                </c:pt>
                <c:pt idx="1">
                  <c:v>3500</c:v>
                </c:pt>
                <c:pt idx="2">
                  <c:v>4200</c:v>
                </c:pt>
                <c:pt idx="3">
                  <c:v>4200</c:v>
                </c:pt>
                <c:pt idx="4">
                  <c:v>4200</c:v>
                </c:pt>
                <c:pt idx="5">
                  <c:v>4200</c:v>
                </c:pt>
                <c:pt idx="6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2-41C2-A402-C9879BBA103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46106</c:v>
                </c:pt>
                <c:pt idx="1">
                  <c:v>46107</c:v>
                </c:pt>
                <c:pt idx="2">
                  <c:v>46108</c:v>
                </c:pt>
                <c:pt idx="3">
                  <c:v>46109</c:v>
                </c:pt>
                <c:pt idx="4">
                  <c:v>46110</c:v>
                </c:pt>
                <c:pt idx="5">
                  <c:v>46111</c:v>
                </c:pt>
                <c:pt idx="6">
                  <c:v>46112</c:v>
                </c:pt>
              </c:numCache>
            </c:numRef>
          </c:cat>
          <c:val>
            <c:numRef>
              <c:f>'OMR Summary'!$B$20:$B$26</c:f>
              <c:numCache>
                <c:formatCode>#,##0</c:formatCode>
                <c:ptCount val="7"/>
                <c:pt idx="0">
                  <c:v>3500</c:v>
                </c:pt>
                <c:pt idx="1">
                  <c:v>3500</c:v>
                </c:pt>
                <c:pt idx="2">
                  <c:v>3500</c:v>
                </c:pt>
                <c:pt idx="3">
                  <c:v>3500</c:v>
                </c:pt>
                <c:pt idx="4">
                  <c:v>3500</c:v>
                </c:pt>
                <c:pt idx="5">
                  <c:v>3500</c:v>
                </c:pt>
                <c:pt idx="6">
                  <c:v>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E2-41C2-A402-C9879BBA103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46106</c:v>
                </c:pt>
                <c:pt idx="1">
                  <c:v>46107</c:v>
                </c:pt>
                <c:pt idx="2">
                  <c:v>46108</c:v>
                </c:pt>
                <c:pt idx="3">
                  <c:v>46109</c:v>
                </c:pt>
                <c:pt idx="4">
                  <c:v>46110</c:v>
                </c:pt>
                <c:pt idx="5">
                  <c:v>46111</c:v>
                </c:pt>
                <c:pt idx="6">
                  <c:v>46112</c:v>
                </c:pt>
              </c:numCache>
            </c:numRef>
          </c:cat>
          <c:val>
            <c:numRef>
              <c:f>'OMR Summary'!$F$6:$F$12</c:f>
              <c:numCache>
                <c:formatCode>#,##0</c:formatCode>
                <c:ptCount val="7"/>
                <c:pt idx="0">
                  <c:v>3500</c:v>
                </c:pt>
                <c:pt idx="1">
                  <c:v>3500</c:v>
                </c:pt>
                <c:pt idx="2">
                  <c:v>2700</c:v>
                </c:pt>
                <c:pt idx="3">
                  <c:v>2700</c:v>
                </c:pt>
                <c:pt idx="4">
                  <c:v>2700</c:v>
                </c:pt>
                <c:pt idx="5">
                  <c:v>2700</c:v>
                </c:pt>
                <c:pt idx="6">
                  <c:v>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E2-41C2-A402-C9879BBA103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46106</c:v>
                </c:pt>
                <c:pt idx="1">
                  <c:v>46107</c:v>
                </c:pt>
                <c:pt idx="2">
                  <c:v>46108</c:v>
                </c:pt>
                <c:pt idx="3">
                  <c:v>46109</c:v>
                </c:pt>
                <c:pt idx="4">
                  <c:v>46110</c:v>
                </c:pt>
                <c:pt idx="5">
                  <c:v>46111</c:v>
                </c:pt>
                <c:pt idx="6">
                  <c:v>46112</c:v>
                </c:pt>
              </c:numCache>
            </c:numRef>
          </c:cat>
          <c:val>
            <c:numRef>
              <c:f>'OMR Summary'!$B$6:$B$12</c:f>
              <c:numCache>
                <c:formatCode>#,##0</c:formatCode>
                <c:ptCount val="7"/>
                <c:pt idx="0">
                  <c:v>3500</c:v>
                </c:pt>
                <c:pt idx="1">
                  <c:v>3500</c:v>
                </c:pt>
                <c:pt idx="2">
                  <c:v>1800</c:v>
                </c:pt>
                <c:pt idx="3">
                  <c:v>1800</c:v>
                </c:pt>
                <c:pt idx="4">
                  <c:v>1800</c:v>
                </c:pt>
                <c:pt idx="5">
                  <c:v>1800</c:v>
                </c:pt>
                <c:pt idx="6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E2-41C2-A402-C9879BBA1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6112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1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46106</c:v>
                </c:pt>
                <c:pt idx="1">
                  <c:v>46107</c:v>
                </c:pt>
                <c:pt idx="2">
                  <c:v>46108</c:v>
                </c:pt>
                <c:pt idx="3">
                  <c:v>46109</c:v>
                </c:pt>
                <c:pt idx="4">
                  <c:v>46110</c:v>
                </c:pt>
                <c:pt idx="5">
                  <c:v>46111</c:v>
                </c:pt>
                <c:pt idx="6">
                  <c:v>46112</c:v>
                </c:pt>
              </c:numCache>
            </c:numRef>
          </c:cat>
          <c:val>
            <c:numRef>
              <c:f>'OMR Summary'!$G$20:$G$26</c:f>
              <c:numCache>
                <c:formatCode>#,##0</c:formatCode>
                <c:ptCount val="7"/>
                <c:pt idx="0">
                  <c:v>4600</c:v>
                </c:pt>
                <c:pt idx="1">
                  <c:v>4400</c:v>
                </c:pt>
                <c:pt idx="2">
                  <c:v>3600</c:v>
                </c:pt>
                <c:pt idx="3">
                  <c:v>3500</c:v>
                </c:pt>
                <c:pt idx="4">
                  <c:v>3500</c:v>
                </c:pt>
                <c:pt idx="5">
                  <c:v>3400</c:v>
                </c:pt>
                <c:pt idx="6">
                  <c:v>3400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8D-442C-90FA-C438F3FD8F1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46106</c:v>
                </c:pt>
                <c:pt idx="1">
                  <c:v>46107</c:v>
                </c:pt>
                <c:pt idx="2">
                  <c:v>46108</c:v>
                </c:pt>
                <c:pt idx="3">
                  <c:v>46109</c:v>
                </c:pt>
                <c:pt idx="4">
                  <c:v>46110</c:v>
                </c:pt>
                <c:pt idx="5">
                  <c:v>46111</c:v>
                </c:pt>
                <c:pt idx="6">
                  <c:v>46112</c:v>
                </c:pt>
              </c:numCache>
            </c:numRef>
          </c:cat>
          <c:val>
            <c:numRef>
              <c:f>'OMR Summary'!$C$20:$C$26</c:f>
              <c:numCache>
                <c:formatCode>#,##0</c:formatCode>
                <c:ptCount val="7"/>
                <c:pt idx="0">
                  <c:v>2900</c:v>
                </c:pt>
                <c:pt idx="1">
                  <c:v>2800</c:v>
                </c:pt>
                <c:pt idx="2">
                  <c:v>2700</c:v>
                </c:pt>
                <c:pt idx="3">
                  <c:v>2600</c:v>
                </c:pt>
                <c:pt idx="4">
                  <c:v>2500</c:v>
                </c:pt>
                <c:pt idx="5">
                  <c:v>2500</c:v>
                </c:pt>
                <c:pt idx="6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8D-442C-90FA-C438F3FD8F1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46106</c:v>
                </c:pt>
                <c:pt idx="1">
                  <c:v>46107</c:v>
                </c:pt>
                <c:pt idx="2">
                  <c:v>46108</c:v>
                </c:pt>
                <c:pt idx="3">
                  <c:v>46109</c:v>
                </c:pt>
                <c:pt idx="4">
                  <c:v>46110</c:v>
                </c:pt>
                <c:pt idx="5">
                  <c:v>46111</c:v>
                </c:pt>
                <c:pt idx="6">
                  <c:v>46112</c:v>
                </c:pt>
              </c:numCache>
            </c:numRef>
          </c:cat>
          <c:val>
            <c:numRef>
              <c:f>'OMR Summary'!$G$6:$G$12</c:f>
              <c:numCache>
                <c:formatCode>#,##0</c:formatCode>
                <c:ptCount val="7"/>
                <c:pt idx="0">
                  <c:v>1300</c:v>
                </c:pt>
                <c:pt idx="1">
                  <c:v>1100</c:v>
                </c:pt>
                <c:pt idx="2">
                  <c:v>1800</c:v>
                </c:pt>
                <c:pt idx="3">
                  <c:v>1700</c:v>
                </c:pt>
                <c:pt idx="4">
                  <c:v>1700</c:v>
                </c:pt>
                <c:pt idx="5">
                  <c:v>1700</c:v>
                </c:pt>
                <c:pt idx="6">
                  <c:v>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8D-442C-90FA-C438F3FD8F1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46106</c:v>
                </c:pt>
                <c:pt idx="1">
                  <c:v>46107</c:v>
                </c:pt>
                <c:pt idx="2">
                  <c:v>46108</c:v>
                </c:pt>
                <c:pt idx="3">
                  <c:v>46109</c:v>
                </c:pt>
                <c:pt idx="4">
                  <c:v>46110</c:v>
                </c:pt>
                <c:pt idx="5">
                  <c:v>46111</c:v>
                </c:pt>
                <c:pt idx="6">
                  <c:v>46112</c:v>
                </c:pt>
              </c:numCache>
            </c:numRef>
          </c:cat>
          <c:val>
            <c:numRef>
              <c:f>'OMR Summary'!$C$6:$C$12</c:f>
              <c:numCache>
                <c:formatCode>#,##0</c:formatCode>
                <c:ptCount val="7"/>
                <c:pt idx="0">
                  <c:v>300</c:v>
                </c:pt>
                <c:pt idx="1">
                  <c:v>300</c:v>
                </c:pt>
                <c:pt idx="2">
                  <c:v>1100</c:v>
                </c:pt>
                <c:pt idx="3">
                  <c:v>1000</c:v>
                </c:pt>
                <c:pt idx="4">
                  <c:v>900</c:v>
                </c:pt>
                <c:pt idx="5">
                  <c:v>900</c:v>
                </c:pt>
                <c:pt idx="6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8D-442C-90FA-C438F3FD8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6112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1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plot_example!$P$3:$P$24</c:f>
              <c:numCache>
                <c:formatCode>0</c:formatCode>
                <c:ptCount val="22"/>
                <c:pt idx="0">
                  <c:v>3499.4949494949497</c:v>
                </c:pt>
                <c:pt idx="1">
                  <c:v>3499.4949494949497</c:v>
                </c:pt>
                <c:pt idx="2">
                  <c:v>3499.4949494949497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4207.575757575758</c:v>
                </c:pt>
                <c:pt idx="12">
                  <c:v>4207.575757575758</c:v>
                </c:pt>
                <c:pt idx="13">
                  <c:v>4207.575757575758</c:v>
                </c:pt>
                <c:pt idx="14">
                  <c:v>4207.575757575758</c:v>
                </c:pt>
                <c:pt idx="15">
                  <c:v>4207.575757575758</c:v>
                </c:pt>
                <c:pt idx="16">
                  <c:v>4207.575757575758</c:v>
                </c:pt>
                <c:pt idx="17">
                  <c:v>4207.575757575758</c:v>
                </c:pt>
                <c:pt idx="18">
                  <c:v>4207.575757575758</c:v>
                </c:pt>
                <c:pt idx="19">
                  <c:v>4207.575757575758</c:v>
                </c:pt>
                <c:pt idx="20">
                  <c:v>4207.575757575758</c:v>
                </c:pt>
                <c:pt idx="21">
                  <c:v>4207.575757575758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D-4109-AD2D-8C971DAE8615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plot_example!$Y$3:$Y$24</c:f>
              <c:numCache>
                <c:formatCode>0</c:formatCode>
                <c:ptCount val="22"/>
                <c:pt idx="0">
                  <c:v>3499.4949494949497</c:v>
                </c:pt>
                <c:pt idx="1">
                  <c:v>3499.4949494949497</c:v>
                </c:pt>
                <c:pt idx="2">
                  <c:v>3499.4949494949497</c:v>
                </c:pt>
                <c:pt idx="3">
                  <c:v>3506.060606060606</c:v>
                </c:pt>
                <c:pt idx="4">
                  <c:v>3506.060606060606</c:v>
                </c:pt>
                <c:pt idx="5">
                  <c:v>3506.060606060606</c:v>
                </c:pt>
                <c:pt idx="6">
                  <c:v>3506.060606060606</c:v>
                </c:pt>
                <c:pt idx="7">
                  <c:v>3506.060606060606</c:v>
                </c:pt>
                <c:pt idx="8">
                  <c:v>3506.060606060606</c:v>
                </c:pt>
                <c:pt idx="9">
                  <c:v>3506.060606060606</c:v>
                </c:pt>
                <c:pt idx="10">
                  <c:v>3506.060606060606</c:v>
                </c:pt>
                <c:pt idx="11">
                  <c:v>3506.060606060606</c:v>
                </c:pt>
                <c:pt idx="12">
                  <c:v>3506.060606060606</c:v>
                </c:pt>
                <c:pt idx="13">
                  <c:v>3506.060606060606</c:v>
                </c:pt>
                <c:pt idx="14">
                  <c:v>3506.060606060606</c:v>
                </c:pt>
                <c:pt idx="15">
                  <c:v>3506.060606060606</c:v>
                </c:pt>
                <c:pt idx="16">
                  <c:v>3506.060606060606</c:v>
                </c:pt>
                <c:pt idx="17">
                  <c:v>3506.060606060606</c:v>
                </c:pt>
                <c:pt idx="18">
                  <c:v>3506.060606060606</c:v>
                </c:pt>
                <c:pt idx="19">
                  <c:v>3506.060606060606</c:v>
                </c:pt>
                <c:pt idx="20">
                  <c:v>3506.060606060606</c:v>
                </c:pt>
                <c:pt idx="21">
                  <c:v>3506.060606060606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2D-4109-AD2D-8C971DAE8615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plot_example!$AH$3:$AH$24</c:f>
              <c:numCache>
                <c:formatCode>0</c:formatCode>
                <c:ptCount val="22"/>
                <c:pt idx="0">
                  <c:v>3499.4949494949497</c:v>
                </c:pt>
                <c:pt idx="1">
                  <c:v>3499.4949494949497</c:v>
                </c:pt>
                <c:pt idx="2">
                  <c:v>3499.4949494949497</c:v>
                </c:pt>
                <c:pt idx="3">
                  <c:v>2704.5454545454545</c:v>
                </c:pt>
                <c:pt idx="4">
                  <c:v>2704.5454545454545</c:v>
                </c:pt>
                <c:pt idx="5">
                  <c:v>2704.5454545454545</c:v>
                </c:pt>
                <c:pt idx="6">
                  <c:v>2704.5454545454545</c:v>
                </c:pt>
                <c:pt idx="7">
                  <c:v>2704.5454545454545</c:v>
                </c:pt>
                <c:pt idx="8">
                  <c:v>2704.5454545454545</c:v>
                </c:pt>
                <c:pt idx="9">
                  <c:v>2704.5454545454545</c:v>
                </c:pt>
                <c:pt idx="10">
                  <c:v>2704.5454545454545</c:v>
                </c:pt>
                <c:pt idx="11">
                  <c:v>2704.5454545454545</c:v>
                </c:pt>
                <c:pt idx="12">
                  <c:v>2704.5454545454545</c:v>
                </c:pt>
                <c:pt idx="13">
                  <c:v>2704.5454545454545</c:v>
                </c:pt>
                <c:pt idx="14">
                  <c:v>2704.5454545454545</c:v>
                </c:pt>
                <c:pt idx="15">
                  <c:v>2704.5454545454545</c:v>
                </c:pt>
                <c:pt idx="16">
                  <c:v>2704.5454545454545</c:v>
                </c:pt>
                <c:pt idx="17">
                  <c:v>2704.5454545454545</c:v>
                </c:pt>
                <c:pt idx="18">
                  <c:v>2704.5454545454545</c:v>
                </c:pt>
                <c:pt idx="19">
                  <c:v>2704.5454545454545</c:v>
                </c:pt>
                <c:pt idx="20">
                  <c:v>2704.5454545454545</c:v>
                </c:pt>
                <c:pt idx="21">
                  <c:v>2704.5454545454545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2D-4109-AD2D-8C971DAE8615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plot_example!$AQ$3:$AQ$24</c:f>
              <c:numCache>
                <c:formatCode>0</c:formatCode>
                <c:ptCount val="22"/>
                <c:pt idx="0">
                  <c:v>3499.4949494949497</c:v>
                </c:pt>
                <c:pt idx="1">
                  <c:v>3499.4949494949497</c:v>
                </c:pt>
                <c:pt idx="2">
                  <c:v>3499.4949494949497</c:v>
                </c:pt>
                <c:pt idx="3">
                  <c:v>1803.030303030303</c:v>
                </c:pt>
                <c:pt idx="4">
                  <c:v>1803.030303030303</c:v>
                </c:pt>
                <c:pt idx="5">
                  <c:v>1803.030303030303</c:v>
                </c:pt>
                <c:pt idx="6">
                  <c:v>1803.030303030303</c:v>
                </c:pt>
                <c:pt idx="7">
                  <c:v>1803.030303030303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1803.030303030303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2D-4109-AD2D-8C971DAE8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plot_example!$M$3:$M$24</c:f>
              <c:numCache>
                <c:formatCode>0</c:formatCode>
                <c:ptCount val="22"/>
                <c:pt idx="0">
                  <c:v>3205.0505050505049</c:v>
                </c:pt>
                <c:pt idx="1">
                  <c:v>4608.0808080808083</c:v>
                </c:pt>
                <c:pt idx="2">
                  <c:v>4407.575757575758</c:v>
                </c:pt>
                <c:pt idx="3">
                  <c:v>3606.5656565656568</c:v>
                </c:pt>
                <c:pt idx="4">
                  <c:v>3506.060606060606</c:v>
                </c:pt>
                <c:pt idx="5">
                  <c:v>3506.060606060606</c:v>
                </c:pt>
                <c:pt idx="6">
                  <c:v>3406.060606060606</c:v>
                </c:pt>
                <c:pt idx="7">
                  <c:v>3406.060606060606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A-4895-A17F-5C7C45BBB9E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plot_example!$V$3:$V$24</c:f>
              <c:numCache>
                <c:formatCode>0</c:formatCode>
                <c:ptCount val="22"/>
                <c:pt idx="0">
                  <c:v>3205.0505050505049</c:v>
                </c:pt>
                <c:pt idx="1">
                  <c:v>2905.0505050505049</c:v>
                </c:pt>
                <c:pt idx="2">
                  <c:v>2805.0505050505049</c:v>
                </c:pt>
                <c:pt idx="3">
                  <c:v>2704.5454545454545</c:v>
                </c:pt>
                <c:pt idx="4">
                  <c:v>2604.5454545454545</c:v>
                </c:pt>
                <c:pt idx="5">
                  <c:v>2504.5454545454545</c:v>
                </c:pt>
                <c:pt idx="6">
                  <c:v>2504.5454545454545</c:v>
                </c:pt>
                <c:pt idx="7">
                  <c:v>2504.5454545454545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FA-4895-A17F-5C7C45BBB9E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plot_example!$AE$3:$AE$24</c:f>
              <c:numCache>
                <c:formatCode>0</c:formatCode>
                <c:ptCount val="22"/>
                <c:pt idx="0">
                  <c:v>3205.0505050505049</c:v>
                </c:pt>
                <c:pt idx="1">
                  <c:v>1302.5252525252524</c:v>
                </c:pt>
                <c:pt idx="2">
                  <c:v>1102.0202020202021</c:v>
                </c:pt>
                <c:pt idx="3">
                  <c:v>1803.030303030303</c:v>
                </c:pt>
                <c:pt idx="4">
                  <c:v>1703.030303030303</c:v>
                </c:pt>
                <c:pt idx="5">
                  <c:v>1703.030303030303</c:v>
                </c:pt>
                <c:pt idx="6">
                  <c:v>1703.030303030303</c:v>
                </c:pt>
                <c:pt idx="7">
                  <c:v>1603.030303030303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FA-4895-A17F-5C7C45BBB9E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plot_example!$AN$3:$AN$24</c:f>
              <c:numCache>
                <c:formatCode>0</c:formatCode>
                <c:ptCount val="22"/>
                <c:pt idx="0">
                  <c:v>3205.0505050505049</c:v>
                </c:pt>
                <c:pt idx="1">
                  <c:v>300.50505050505052</c:v>
                </c:pt>
                <c:pt idx="2">
                  <c:v>300.50505050505052</c:v>
                </c:pt>
                <c:pt idx="3">
                  <c:v>1102.0202020202021</c:v>
                </c:pt>
                <c:pt idx="4">
                  <c:v>1002.0202020202021</c:v>
                </c:pt>
                <c:pt idx="5">
                  <c:v>901.5151515151515</c:v>
                </c:pt>
                <c:pt idx="6">
                  <c:v>901.5151515151515</c:v>
                </c:pt>
                <c:pt idx="7">
                  <c:v>901.5151515151515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FA-4895-A17F-5C7C45BBB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379503</xdr:colOff>
      <xdr:row>27</xdr:row>
      <xdr:rowOff>74086</xdr:rowOff>
    </xdr:from>
    <xdr:to>
      <xdr:col>14</xdr:col>
      <xdr:colOff>236831</xdr:colOff>
      <xdr:row>89</xdr:row>
      <xdr:rowOff>73403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040AF40-7C0E-9E98-7DE3-4EDBC80BC94C}"/>
            </a:ext>
          </a:extLst>
        </xdr:cNvPr>
        <xdr:cNvGrpSpPr/>
      </xdr:nvGrpSpPr>
      <xdr:grpSpPr>
        <a:xfrm>
          <a:off x="379503" y="5301406"/>
          <a:ext cx="8429828" cy="10827337"/>
          <a:chOff x="379503" y="4867226"/>
          <a:chExt cx="8433292" cy="10729663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2CAEBBCE-3048-4CE5-9B14-D44FAFA3CF94}"/>
              </a:ext>
            </a:extLst>
          </xdr:cNvPr>
          <xdr:cNvGraphicFramePr>
            <a:graphicFrameLocks/>
          </xdr:cNvGraphicFramePr>
        </xdr:nvGraphicFramePr>
        <xdr:xfrm>
          <a:off x="379503" y="4867226"/>
          <a:ext cx="8433292" cy="35781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96FF2A7A-4A18-4839-852C-BAAB17FA3106}"/>
              </a:ext>
            </a:extLst>
          </xdr:cNvPr>
          <xdr:cNvGraphicFramePr>
            <a:graphicFrameLocks/>
          </xdr:cNvGraphicFramePr>
        </xdr:nvGraphicFramePr>
        <xdr:xfrm>
          <a:off x="379997" y="8467057"/>
          <a:ext cx="8424684" cy="35290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420C6C97-1B43-489A-94A9-B6EACE602E25}"/>
              </a:ext>
            </a:extLst>
          </xdr:cNvPr>
          <xdr:cNvGraphicFramePr>
            <a:graphicFrameLocks/>
          </xdr:cNvGraphicFramePr>
        </xdr:nvGraphicFramePr>
        <xdr:xfrm>
          <a:off x="379997" y="12015899"/>
          <a:ext cx="8432304" cy="35809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529590</xdr:colOff>
      <xdr:row>2</xdr:row>
      <xdr:rowOff>14969</xdr:rowOff>
    </xdr:from>
    <xdr:to>
      <xdr:col>23</xdr:col>
      <xdr:colOff>454701</xdr:colOff>
      <xdr:row>20</xdr:row>
      <xdr:rowOff>25757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11431B-D27D-4184-AC3C-08CA3C9D8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587189</xdr:colOff>
      <xdr:row>20</xdr:row>
      <xdr:rowOff>31857</xdr:rowOff>
    </xdr:from>
    <xdr:to>
      <xdr:col>23</xdr:col>
      <xdr:colOff>507787</xdr:colOff>
      <xdr:row>38</xdr:row>
      <xdr:rowOff>75082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38ABF5-BE8E-4904-BF53-0DA232A3F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451757</xdr:colOff>
      <xdr:row>2</xdr:row>
      <xdr:rowOff>34563</xdr:rowOff>
    </xdr:from>
    <xdr:to>
      <xdr:col>37</xdr:col>
      <xdr:colOff>346388</xdr:colOff>
      <xdr:row>20</xdr:row>
      <xdr:rowOff>6162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E53F41-B46F-457D-80AA-3EDDAB1FE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447738</xdr:colOff>
      <xdr:row>20</xdr:row>
      <xdr:rowOff>43382</xdr:rowOff>
    </xdr:from>
    <xdr:to>
      <xdr:col>37</xdr:col>
      <xdr:colOff>350407</xdr:colOff>
      <xdr:row>38</xdr:row>
      <xdr:rowOff>63556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CD5600-AE50-4CD3-9A4D-4215D4020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98D9-BA0F-4346-8F30-C2E376434F57}">
  <sheetPr codeName="Sheet1"/>
  <dimension ref="A1:A10"/>
  <sheetViews>
    <sheetView workbookViewId="0"/>
  </sheetViews>
  <sheetFormatPr defaultRowHeight="14.4" x14ac:dyDescent="0.3"/>
  <sheetData>
    <row r="1" spans="1:1" x14ac:dyDescent="0.3">
      <c r="A1" t="s">
        <v>43</v>
      </c>
    </row>
    <row r="3" spans="1:1" x14ac:dyDescent="0.3">
      <c r="A3" s="48" t="s">
        <v>44</v>
      </c>
    </row>
    <row r="4" spans="1:1" x14ac:dyDescent="0.3">
      <c r="A4" t="s">
        <v>75</v>
      </c>
    </row>
    <row r="5" spans="1:1" x14ac:dyDescent="0.3">
      <c r="A5" t="s">
        <v>45</v>
      </c>
    </row>
    <row r="6" spans="1:1" x14ac:dyDescent="0.3">
      <c r="A6" t="s">
        <v>46</v>
      </c>
    </row>
    <row r="7" spans="1:1" x14ac:dyDescent="0.3">
      <c r="A7" t="s">
        <v>47</v>
      </c>
    </row>
    <row r="8" spans="1:1" x14ac:dyDescent="0.3">
      <c r="A8" t="s">
        <v>48</v>
      </c>
    </row>
    <row r="9" spans="1:1" x14ac:dyDescent="0.3">
      <c r="A9" t="s">
        <v>49</v>
      </c>
    </row>
    <row r="10" spans="1:1" x14ac:dyDescent="0.3">
      <c r="A10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BF6A-F315-4D77-9F5F-876B8CB34813}">
  <sheetPr codeName="Sheet2"/>
  <dimension ref="A1:G6"/>
  <sheetViews>
    <sheetView workbookViewId="0">
      <selection activeCell="B29" sqref="B29"/>
    </sheetView>
  </sheetViews>
  <sheetFormatPr defaultRowHeight="14.4" x14ac:dyDescent="0.3"/>
  <cols>
    <col min="1" max="1" width="3.33203125" style="53" customWidth="1"/>
    <col min="2" max="2" width="34.33203125" customWidth="1"/>
    <col min="3" max="3" width="17.6640625" customWidth="1"/>
    <col min="4" max="4" width="11.77734375" customWidth="1"/>
    <col min="5" max="5" width="16.44140625" customWidth="1"/>
    <col min="6" max="6" width="11.6640625" customWidth="1"/>
    <col min="7" max="7" width="16.33203125" customWidth="1"/>
  </cols>
  <sheetData>
    <row r="1" spans="2:7" ht="34.799999999999997" customHeight="1" x14ac:dyDescent="0.3">
      <c r="B1" s="54" t="s">
        <v>67</v>
      </c>
      <c r="C1" s="55"/>
      <c r="D1" s="55"/>
      <c r="E1" s="55"/>
      <c r="F1" s="55"/>
      <c r="G1" s="55"/>
    </row>
    <row r="2" spans="2:7" ht="34.799999999999997" customHeight="1" x14ac:dyDescent="0.3">
      <c r="B2" s="56" t="s">
        <v>68</v>
      </c>
      <c r="C2" s="57"/>
      <c r="D2" s="57"/>
      <c r="E2" s="57"/>
      <c r="F2" s="57"/>
      <c r="G2" s="57"/>
    </row>
    <row r="3" spans="2:7" ht="40.799999999999997" customHeight="1" x14ac:dyDescent="0.3">
      <c r="B3" s="51" t="s">
        <v>69</v>
      </c>
      <c r="C3" s="51" t="s">
        <v>9</v>
      </c>
      <c r="D3" s="51" t="s">
        <v>70</v>
      </c>
      <c r="E3" s="51" t="s">
        <v>10</v>
      </c>
      <c r="F3" s="51" t="s">
        <v>71</v>
      </c>
      <c r="G3" s="51" t="s">
        <v>72</v>
      </c>
    </row>
    <row r="4" spans="2:7" ht="40.799999999999997" customHeight="1" x14ac:dyDescent="0.3">
      <c r="B4" s="52" t="str">
        <f>plot_example!S35</f>
        <v>Week 1 (03/24/2026 - 03/30/2026)</v>
      </c>
      <c r="C4" s="50">
        <f>plot_example!T35</f>
        <v>14894.857142857143</v>
      </c>
      <c r="D4" s="50" t="str">
        <f>plot_example!U35</f>
        <v>med</v>
      </c>
      <c r="E4" s="50">
        <f>plot_example!V35</f>
        <v>2162.2857142857142</v>
      </c>
      <c r="F4" s="50" t="str">
        <f>plot_example!W35</f>
        <v>med</v>
      </c>
      <c r="G4" s="50" t="str">
        <f>plot_example!X35</f>
        <v>medmed</v>
      </c>
    </row>
    <row r="5" spans="2:7" ht="40.799999999999997" customHeight="1" x14ac:dyDescent="0.3">
      <c r="B5" s="52" t="str">
        <f>plot_example!S36</f>
        <v>Week 2 (03/31/2026 - 04/06/2026)</v>
      </c>
      <c r="C5" s="50">
        <f>plot_example!T36</f>
        <v>12602.142857142857</v>
      </c>
      <c r="D5" s="50" t="str">
        <f>plot_example!U36</f>
        <v>lo</v>
      </c>
      <c r="E5" s="50">
        <f>plot_example!V36</f>
        <v>1984.8571428571429</v>
      </c>
      <c r="F5" s="50" t="str">
        <f>plot_example!W36</f>
        <v>med</v>
      </c>
      <c r="G5" s="50" t="str">
        <f>plot_example!X36</f>
        <v>lomed</v>
      </c>
    </row>
    <row r="6" spans="2:7" ht="40.799999999999997" customHeight="1" x14ac:dyDescent="0.3">
      <c r="B6" s="52" t="str">
        <f>plot_example!S37</f>
        <v>Week 3 (04/07/2026 - 04/13/2026)</v>
      </c>
      <c r="C6" s="50">
        <f>plot_example!T37</f>
        <v>10000</v>
      </c>
      <c r="D6" s="50" t="str">
        <f>plot_example!U37</f>
        <v>lo</v>
      </c>
      <c r="E6" s="50">
        <f>plot_example!V37</f>
        <v>2000</v>
      </c>
      <c r="F6" s="50" t="str">
        <f>plot_example!W37</f>
        <v>med</v>
      </c>
      <c r="G6" s="50" t="str">
        <f>plot_example!X37</f>
        <v>lomed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9C32-4F18-402E-B42A-4978BF191F3A}">
  <sheetPr codeName="Sheet23"/>
  <dimension ref="A1:AV55"/>
  <sheetViews>
    <sheetView topLeftCell="A29" workbookViewId="0">
      <selection activeCell="P41" sqref="P41"/>
    </sheetView>
  </sheetViews>
  <sheetFormatPr defaultColWidth="8.88671875" defaultRowHeight="13.2" x14ac:dyDescent="0.25"/>
  <cols>
    <col min="1" max="1" width="9.44140625" style="1" bestFit="1" customWidth="1"/>
    <col min="2" max="18" width="8.88671875" style="1"/>
    <col min="19" max="19" width="8.88671875" style="1" customWidth="1"/>
    <col min="20" max="20" width="10.109375" style="1" bestFit="1" customWidth="1"/>
    <col min="21" max="21" width="8.88671875" style="1"/>
    <col min="22" max="22" width="10.109375" style="1" bestFit="1" customWidth="1"/>
    <col min="23" max="25" width="10.109375" style="1" customWidth="1"/>
    <col min="26" max="26" width="8.88671875" style="1"/>
    <col min="27" max="29" width="10.109375" style="1" bestFit="1" customWidth="1"/>
    <col min="30" max="16384" width="8.88671875" style="1"/>
  </cols>
  <sheetData>
    <row r="1" spans="1:48" ht="13.8" thickBot="1" x14ac:dyDescent="0.3">
      <c r="B1" s="2" t="s">
        <v>0</v>
      </c>
      <c r="E1" s="2" t="s">
        <v>0</v>
      </c>
      <c r="H1" s="78" t="s">
        <v>74</v>
      </c>
      <c r="I1" s="79"/>
      <c r="J1" s="79"/>
      <c r="K1" s="79"/>
      <c r="L1" s="79"/>
      <c r="M1" s="79"/>
      <c r="N1" s="79"/>
      <c r="O1" s="79"/>
      <c r="P1" s="80"/>
      <c r="Q1" s="78" t="s">
        <v>55</v>
      </c>
      <c r="R1" s="79"/>
      <c r="S1" s="79"/>
      <c r="T1" s="79"/>
      <c r="U1" s="79"/>
      <c r="V1" s="79"/>
      <c r="W1" s="79"/>
      <c r="X1" s="79"/>
      <c r="Y1" s="80"/>
      <c r="Z1" s="78" t="s">
        <v>54</v>
      </c>
      <c r="AA1" s="79"/>
      <c r="AB1" s="79"/>
      <c r="AC1" s="79"/>
      <c r="AD1" s="79"/>
      <c r="AE1" s="79"/>
      <c r="AF1" s="79"/>
      <c r="AG1" s="79"/>
      <c r="AH1" s="80"/>
      <c r="AI1" s="3"/>
      <c r="AJ1" s="3"/>
      <c r="AK1" s="3"/>
      <c r="AL1" s="78" t="s">
        <v>53</v>
      </c>
      <c r="AM1" s="79"/>
      <c r="AN1" s="79"/>
      <c r="AO1" s="79"/>
      <c r="AP1" s="79"/>
      <c r="AQ1" s="80"/>
      <c r="AR1" s="2" t="s">
        <v>1</v>
      </c>
      <c r="AS1" s="4">
        <v>6500</v>
      </c>
      <c r="AT1" s="4">
        <v>5000</v>
      </c>
      <c r="AU1" s="4">
        <v>3250</v>
      </c>
      <c r="AV1" s="4">
        <v>2000</v>
      </c>
    </row>
    <row r="2" spans="1:48" s="60" customFormat="1" ht="39.6" x14ac:dyDescent="0.25">
      <c r="B2" s="61" t="s">
        <v>2</v>
      </c>
      <c r="C2" s="58" t="s">
        <v>3</v>
      </c>
      <c r="D2" s="60" t="s">
        <v>4</v>
      </c>
      <c r="E2" s="62" t="s">
        <v>19</v>
      </c>
      <c r="F2" s="59" t="s">
        <v>5</v>
      </c>
      <c r="G2" s="60" t="s">
        <v>6</v>
      </c>
      <c r="H2" s="63" t="s">
        <v>7</v>
      </c>
      <c r="K2" s="64" t="s">
        <v>51</v>
      </c>
      <c r="L2" s="59" t="s">
        <v>76</v>
      </c>
      <c r="N2" s="60" t="s">
        <v>52</v>
      </c>
      <c r="O2" s="59" t="s">
        <v>77</v>
      </c>
      <c r="P2" s="65"/>
      <c r="Q2" s="63" t="s">
        <v>7</v>
      </c>
      <c r="T2" s="64" t="s">
        <v>51</v>
      </c>
      <c r="W2" s="60" t="s">
        <v>52</v>
      </c>
      <c r="Y2" s="65"/>
      <c r="Z2" s="63" t="s">
        <v>7</v>
      </c>
      <c r="AC2" s="64" t="s">
        <v>51</v>
      </c>
      <c r="AF2" s="60" t="s">
        <v>52</v>
      </c>
      <c r="AH2" s="65"/>
      <c r="AI2" s="63" t="s">
        <v>7</v>
      </c>
      <c r="AL2" s="64" t="s">
        <v>51</v>
      </c>
      <c r="AO2" s="60" t="s">
        <v>52</v>
      </c>
      <c r="AQ2" s="65"/>
    </row>
    <row r="3" spans="1:48" ht="14.4" x14ac:dyDescent="0.3">
      <c r="A3" s="47">
        <v>46105</v>
      </c>
      <c r="B3" s="7">
        <f>INDEX('03_25_OMRI-2000'!$E$4:$E$393,MATCH($A3,'03_25_OMRI-2000'!$A$4:$A$393,0))</f>
        <v>18400</v>
      </c>
      <c r="C3" s="74">
        <f>DSM2_Historic_data!B3</f>
        <v>0</v>
      </c>
      <c r="D3" s="1">
        <f t="shared" ref="D3:D7" si="0">B3</f>
        <v>18400</v>
      </c>
      <c r="E3" s="7">
        <f>INDEX('03_25_OMRI-2000'!$D$4:$D$393,MATCH($A3,'03_25_OMRI-2000'!$A$4:$A$393,0))</f>
        <v>2683</v>
      </c>
      <c r="F3" s="74">
        <f>DSM2_Historic_data!C3</f>
        <v>0</v>
      </c>
      <c r="G3" s="1">
        <f t="shared" ref="G3:G7" si="1">E3</f>
        <v>2683</v>
      </c>
      <c r="H3" s="9">
        <f t="shared" ref="H3:H24" si="2">-6500</f>
        <v>-6500</v>
      </c>
      <c r="I3" s="8"/>
      <c r="J3" s="1">
        <f t="shared" ref="J3:J7" si="3">H3</f>
        <v>-6500</v>
      </c>
      <c r="K3" s="10">
        <f>INDEX('03_25_OMRI -6500'!$B4:$B400,MATCH($A3,'03_25_OMRI -6500'!$A4:$A400,0))/1.98</f>
        <v>3205.0505050505049</v>
      </c>
      <c r="L3" s="74">
        <f>DSM2_Historic_data!D3</f>
        <v>0</v>
      </c>
      <c r="M3" s="49">
        <f t="shared" ref="M3:M7" si="4">K3</f>
        <v>3205.0505050505049</v>
      </c>
      <c r="N3" s="10">
        <f>INDEX('03_25_OMRI -6500'!$C4:$C400,MATCH($A3,'03_25_OMRI -6500'!$A4:$A400,0))/1.98</f>
        <v>3499.4949494949497</v>
      </c>
      <c r="O3" s="74">
        <f>DSM2_Historic_data!E3</f>
        <v>0</v>
      </c>
      <c r="P3" s="49">
        <f t="shared" ref="P3:P7" si="5">N3</f>
        <v>3499.4949494949497</v>
      </c>
      <c r="Q3" s="1">
        <v>-5000</v>
      </c>
      <c r="R3" s="8"/>
      <c r="S3" s="1">
        <f t="shared" ref="S3:S7" si="6">Q3</f>
        <v>-5000</v>
      </c>
      <c r="T3" s="46">
        <f>INDEX('03_25_OMRI -5000'!$B4:$B393,MATCH($A3,'03_25_OMRI -5000'!$A4:$A393,0))/1.98</f>
        <v>3205.0505050505049</v>
      </c>
      <c r="U3" s="8"/>
      <c r="V3" s="49">
        <f>T3</f>
        <v>3205.0505050505049</v>
      </c>
      <c r="W3" s="46">
        <f>INDEX('03_25_OMRI -5000'!$C4:$C393,MATCH($A3,'03_25_OMRI -5000'!$A4:$A393,0))/1.98</f>
        <v>3499.4949494949497</v>
      </c>
      <c r="X3" s="8"/>
      <c r="Y3" s="49">
        <f t="shared" ref="Y3:Y7" si="7">W3</f>
        <v>3499.4949494949497</v>
      </c>
      <c r="Z3" s="1">
        <v>-3500</v>
      </c>
      <c r="AA3" s="8"/>
      <c r="AB3" s="1">
        <f t="shared" ref="AB3:AB7" si="8">Z3</f>
        <v>-3500</v>
      </c>
      <c r="AC3" s="11">
        <f>INDEX('03_25_OMRI -3500'!$B4:$B393,MATCH($A3,'03_25_OMRI -3500'!$A4:$A393,0))/1.98</f>
        <v>3205.0505050505049</v>
      </c>
      <c r="AD3" s="8"/>
      <c r="AE3" s="49">
        <f t="shared" ref="AE3:AE7" si="9">AC3</f>
        <v>3205.0505050505049</v>
      </c>
      <c r="AF3" s="10">
        <f>INDEX('03_25_OMRI -3500'!$C4:$C393,MATCH($A3,'03_25_OMRI -3500'!$A4:$A393,0))/1.98</f>
        <v>3499.4949494949497</v>
      </c>
      <c r="AG3" s="8"/>
      <c r="AH3" s="49">
        <f t="shared" ref="AH3:AH7" si="10">AF3</f>
        <v>3499.4949494949497</v>
      </c>
      <c r="AI3" s="9">
        <v>-2000</v>
      </c>
      <c r="AJ3" s="8"/>
      <c r="AK3" s="1">
        <f t="shared" ref="AK3:AK7" si="11">AI3</f>
        <v>-2000</v>
      </c>
      <c r="AL3" s="11">
        <f>INDEX('03_25_OMRI-2000'!$B4:$B393,MATCH($A3,'03_25_OMRI-2000'!$A4:$A393,0))/1.98</f>
        <v>3205.0505050505049</v>
      </c>
      <c r="AM3" s="8"/>
      <c r="AN3" s="49">
        <f t="shared" ref="AN3:AN7" si="12">AL3</f>
        <v>3205.0505050505049</v>
      </c>
      <c r="AO3" s="10">
        <f>INDEX('03_25_OMRI-2000'!$C4:$C393,MATCH($A3,'03_25_OMRI-2000'!$A4:$A393,0))/1.98</f>
        <v>3499.4949494949497</v>
      </c>
      <c r="AP3" s="8"/>
      <c r="AQ3" s="49">
        <f t="shared" ref="AQ3:AQ7" si="13">AO3</f>
        <v>3499.4949494949497</v>
      </c>
      <c r="AS3" s="12">
        <f t="shared" ref="AS3:AS24" si="14">N3/(K3+N3)</f>
        <v>0.52195856873822977</v>
      </c>
      <c r="AT3" s="12">
        <f t="shared" ref="AT3:AT24" si="15">W3/(T3+W3)</f>
        <v>0.52195856873822977</v>
      </c>
      <c r="AU3" s="12">
        <f>AF3/(AC3+AF3)</f>
        <v>0.52195856873822977</v>
      </c>
      <c r="AV3" s="12">
        <f>AO3/(AL3+AO3)</f>
        <v>0.52195856873822977</v>
      </c>
    </row>
    <row r="4" spans="1:48" ht="14.4" x14ac:dyDescent="0.3">
      <c r="A4" s="6">
        <f>A3+1</f>
        <v>46106</v>
      </c>
      <c r="B4" s="7">
        <f>INDEX('03_25_OMRI-2000'!$E$4:$E$393,MATCH($A4,'03_25_OMRI-2000'!$A$4:$A$393,0))</f>
        <v>17028</v>
      </c>
      <c r="C4" s="74">
        <f>DSM2_Historic_data!B4</f>
        <v>0</v>
      </c>
      <c r="D4" s="1">
        <f t="shared" si="0"/>
        <v>17028</v>
      </c>
      <c r="E4" s="7">
        <f>INDEX('03_25_OMRI-2000'!$D$4:$D$393,MATCH($A4,'03_25_OMRI-2000'!$A$4:$A$393,0))</f>
        <v>2420</v>
      </c>
      <c r="F4" s="74">
        <f>DSM2_Historic_data!C4</f>
        <v>0</v>
      </c>
      <c r="G4" s="1">
        <f t="shared" si="1"/>
        <v>2420</v>
      </c>
      <c r="H4" s="9">
        <f t="shared" si="2"/>
        <v>-6500</v>
      </c>
      <c r="I4" s="8"/>
      <c r="J4" s="1">
        <f t="shared" si="3"/>
        <v>-6500</v>
      </c>
      <c r="K4" s="10">
        <f>INDEX('03_25_OMRI -6500'!$B5:$B401,MATCH($A4,'03_25_OMRI -6500'!$A5:$A401,0))/1.98</f>
        <v>4608.0808080808083</v>
      </c>
      <c r="L4" s="74">
        <f>DSM2_Historic_data!D4</f>
        <v>0</v>
      </c>
      <c r="M4" s="49">
        <f t="shared" si="4"/>
        <v>4608.0808080808083</v>
      </c>
      <c r="N4" s="10">
        <f>INDEX('03_25_OMRI -6500'!$C5:$C401,MATCH($A4,'03_25_OMRI -6500'!$A5:$A401,0))/1.98</f>
        <v>3499.4949494949497</v>
      </c>
      <c r="O4" s="74">
        <f>DSM2_Historic_data!E4</f>
        <v>0</v>
      </c>
      <c r="P4" s="49">
        <f t="shared" si="5"/>
        <v>3499.4949494949497</v>
      </c>
      <c r="Q4" s="1">
        <v>-5000</v>
      </c>
      <c r="R4" s="8"/>
      <c r="S4" s="1">
        <f t="shared" si="6"/>
        <v>-5000</v>
      </c>
      <c r="T4" s="46">
        <f>INDEX('03_25_OMRI -5000'!$B5:$B394,MATCH($A4,'03_25_OMRI -5000'!$A5:$A394,0))/1.98</f>
        <v>2905.0505050505049</v>
      </c>
      <c r="U4" s="8"/>
      <c r="V4" s="49">
        <f t="shared" ref="V4:V7" si="16">T4</f>
        <v>2905.0505050505049</v>
      </c>
      <c r="W4" s="46">
        <f>INDEX('03_25_OMRI -5000'!$C5:$C394,MATCH($A4,'03_25_OMRI -5000'!$A5:$A394,0))/1.98</f>
        <v>3499.4949494949497</v>
      </c>
      <c r="X4" s="8"/>
      <c r="Y4" s="49">
        <f t="shared" si="7"/>
        <v>3499.4949494949497</v>
      </c>
      <c r="Z4" s="1">
        <v>-3500</v>
      </c>
      <c r="AA4" s="8"/>
      <c r="AB4" s="1">
        <f t="shared" si="8"/>
        <v>-3500</v>
      </c>
      <c r="AC4" s="11">
        <f>INDEX('03_25_OMRI -3500'!$B5:$B394,MATCH($A4,'03_25_OMRI -3500'!$A5:$A394,0))/1.98</f>
        <v>1302.5252525252524</v>
      </c>
      <c r="AD4" s="8"/>
      <c r="AE4" s="49">
        <f t="shared" si="9"/>
        <v>1302.5252525252524</v>
      </c>
      <c r="AF4" s="10">
        <f>INDEX('03_25_OMRI -3500'!$C5:$C394,MATCH($A4,'03_25_OMRI -3500'!$A5:$A394,0))/1.98</f>
        <v>3499.4949494949497</v>
      </c>
      <c r="AG4" s="8"/>
      <c r="AH4" s="49">
        <f t="shared" si="10"/>
        <v>3499.4949494949497</v>
      </c>
      <c r="AI4" s="9">
        <v>-2000</v>
      </c>
      <c r="AJ4" s="8"/>
      <c r="AK4" s="1">
        <f t="shared" si="11"/>
        <v>-2000</v>
      </c>
      <c r="AL4" s="11">
        <f>INDEX('03_25_OMRI-2000'!$B5:$B394,MATCH($A4,'03_25_OMRI-2000'!$A5:$A394,0))/1.98</f>
        <v>300.50505050505052</v>
      </c>
      <c r="AM4" s="8"/>
      <c r="AN4" s="49">
        <f t="shared" si="12"/>
        <v>300.50505050505052</v>
      </c>
      <c r="AO4" s="10">
        <f>INDEX('03_25_OMRI-2000'!$C5:$C394,MATCH($A4,'03_25_OMRI-2000'!$A5:$A394,0))/1.98</f>
        <v>3499.4949494949497</v>
      </c>
      <c r="AP4" s="8"/>
      <c r="AQ4" s="49">
        <f t="shared" si="13"/>
        <v>3499.4949494949497</v>
      </c>
      <c r="AS4" s="12">
        <f t="shared" si="14"/>
        <v>0.43163271662617581</v>
      </c>
      <c r="AT4" s="12">
        <f t="shared" si="15"/>
        <v>0.54640801198643651</v>
      </c>
      <c r="AU4" s="12">
        <f t="shared" ref="AU4:AU24" si="17">AF4/(AC4+AF4)</f>
        <v>0.7287547328565418</v>
      </c>
      <c r="AV4" s="12">
        <f t="shared" ref="AV4:AV24" si="18">AO4/(AL4+AO4)</f>
        <v>0.92091972355130258</v>
      </c>
    </row>
    <row r="5" spans="1:48" ht="14.4" x14ac:dyDescent="0.3">
      <c r="A5" s="6">
        <f t="shared" ref="A5:A24" si="19">A4+1</f>
        <v>46107</v>
      </c>
      <c r="B5" s="7">
        <f>INDEX('03_25_OMRI-2000'!$E$4:$E$393,MATCH($A5,'03_25_OMRI-2000'!$A$4:$A$393,0))</f>
        <v>15383</v>
      </c>
      <c r="C5" s="74">
        <f>DSM2_Historic_data!B5</f>
        <v>0</v>
      </c>
      <c r="D5" s="1">
        <f t="shared" si="0"/>
        <v>15383</v>
      </c>
      <c r="E5" s="7">
        <f>INDEX('03_25_OMRI-2000'!$D$4:$D$393,MATCH($A5,'03_25_OMRI-2000'!$A$4:$A$393,0))</f>
        <v>2218</v>
      </c>
      <c r="F5" s="74">
        <f>DSM2_Historic_data!C5</f>
        <v>0</v>
      </c>
      <c r="G5" s="1">
        <f t="shared" si="1"/>
        <v>2218</v>
      </c>
      <c r="H5" s="9">
        <f t="shared" si="2"/>
        <v>-6500</v>
      </c>
      <c r="I5" s="8"/>
      <c r="J5" s="1">
        <f t="shared" si="3"/>
        <v>-6500</v>
      </c>
      <c r="K5" s="10">
        <f>INDEX('03_25_OMRI -6500'!$B6:$B402,MATCH($A5,'03_25_OMRI -6500'!$A6:$A402,0))/1.98</f>
        <v>4407.575757575758</v>
      </c>
      <c r="L5" s="74">
        <f>DSM2_Historic_data!D5</f>
        <v>0</v>
      </c>
      <c r="M5" s="49">
        <f t="shared" si="4"/>
        <v>4407.575757575758</v>
      </c>
      <c r="N5" s="10">
        <f>INDEX('03_25_OMRI -6500'!$C6:$C402,MATCH($A5,'03_25_OMRI -6500'!$A6:$A402,0))/1.98</f>
        <v>3499.4949494949497</v>
      </c>
      <c r="O5" s="74">
        <f>DSM2_Historic_data!E5</f>
        <v>0</v>
      </c>
      <c r="P5" s="49">
        <f t="shared" si="5"/>
        <v>3499.4949494949497</v>
      </c>
      <c r="Q5" s="1">
        <v>-5000</v>
      </c>
      <c r="R5" s="8"/>
      <c r="S5" s="1">
        <f t="shared" si="6"/>
        <v>-5000</v>
      </c>
      <c r="T5" s="46">
        <f>INDEX('03_25_OMRI -5000'!$B6:$B395,MATCH($A5,'03_25_OMRI -5000'!$A6:$A395,0))/1.98</f>
        <v>2805.0505050505049</v>
      </c>
      <c r="U5" s="8"/>
      <c r="V5" s="49">
        <f t="shared" si="16"/>
        <v>2805.0505050505049</v>
      </c>
      <c r="W5" s="46">
        <f>INDEX('03_25_OMRI -5000'!$C6:$C395,MATCH($A5,'03_25_OMRI -5000'!$A6:$A395,0))/1.98</f>
        <v>3499.4949494949497</v>
      </c>
      <c r="X5" s="8"/>
      <c r="Y5" s="49">
        <f t="shared" si="7"/>
        <v>3499.4949494949497</v>
      </c>
      <c r="Z5" s="1">
        <v>-3500</v>
      </c>
      <c r="AA5" s="8"/>
      <c r="AB5" s="1">
        <f t="shared" si="8"/>
        <v>-3500</v>
      </c>
      <c r="AC5" s="11">
        <f>INDEX('03_25_OMRI -3500'!$B6:$B395,MATCH($A5,'03_25_OMRI -3500'!$A6:$A395,0))/1.98</f>
        <v>1102.0202020202021</v>
      </c>
      <c r="AD5" s="8"/>
      <c r="AE5" s="49">
        <f t="shared" si="9"/>
        <v>1102.0202020202021</v>
      </c>
      <c r="AF5" s="10">
        <f>INDEX('03_25_OMRI -3500'!$C6:$C395,MATCH($A5,'03_25_OMRI -3500'!$A6:$A395,0))/1.98</f>
        <v>3499.4949494949497</v>
      </c>
      <c r="AG5" s="8"/>
      <c r="AH5" s="49">
        <f t="shared" si="10"/>
        <v>3499.4949494949497</v>
      </c>
      <c r="AI5" s="9">
        <v>-2000</v>
      </c>
      <c r="AJ5" s="8"/>
      <c r="AK5" s="1">
        <f t="shared" si="11"/>
        <v>-2000</v>
      </c>
      <c r="AL5" s="11">
        <f>INDEX('03_25_OMRI-2000'!$B6:$B395,MATCH($A5,'03_25_OMRI-2000'!$A6:$A395,0))/1.98</f>
        <v>300.50505050505052</v>
      </c>
      <c r="AM5" s="8"/>
      <c r="AN5" s="49">
        <f t="shared" si="12"/>
        <v>300.50505050505052</v>
      </c>
      <c r="AO5" s="10">
        <f>INDEX('03_25_OMRI-2000'!$C6:$C395,MATCH($A5,'03_25_OMRI-2000'!$A6:$A395,0))/1.98</f>
        <v>3499.4949494949497</v>
      </c>
      <c r="AP5" s="8"/>
      <c r="AQ5" s="49">
        <f t="shared" si="13"/>
        <v>3499.4949494949497</v>
      </c>
      <c r="AS5" s="12">
        <f t="shared" si="14"/>
        <v>0.44257792539601432</v>
      </c>
      <c r="AT5" s="12">
        <f t="shared" si="15"/>
        <v>0.55507490186653852</v>
      </c>
      <c r="AU5" s="12">
        <f t="shared" si="17"/>
        <v>0.7605092745033476</v>
      </c>
      <c r="AV5" s="12">
        <f t="shared" si="18"/>
        <v>0.92091972355130258</v>
      </c>
    </row>
    <row r="6" spans="1:48" ht="14.4" x14ac:dyDescent="0.3">
      <c r="A6" s="6">
        <f t="shared" si="19"/>
        <v>46108</v>
      </c>
      <c r="B6" s="7">
        <f>INDEX('03_25_OMRI-2000'!$E$4:$E$393,MATCH($A6,'03_25_OMRI-2000'!$A$4:$A$393,0))</f>
        <v>14049</v>
      </c>
      <c r="C6" s="74">
        <f>DSM2_Historic_data!B6</f>
        <v>0</v>
      </c>
      <c r="D6" s="1">
        <f t="shared" si="0"/>
        <v>14049</v>
      </c>
      <c r="E6" s="7">
        <f>INDEX('03_25_OMRI-2000'!$D$4:$D$393,MATCH($A6,'03_25_OMRI-2000'!$A$4:$A$393,0))</f>
        <v>2068</v>
      </c>
      <c r="F6" s="74">
        <f>DSM2_Historic_data!C6</f>
        <v>0</v>
      </c>
      <c r="G6" s="1">
        <f t="shared" si="1"/>
        <v>2068</v>
      </c>
      <c r="H6" s="9">
        <f t="shared" si="2"/>
        <v>-6500</v>
      </c>
      <c r="I6" s="8"/>
      <c r="J6" s="1">
        <f t="shared" si="3"/>
        <v>-6500</v>
      </c>
      <c r="K6" s="10">
        <f>INDEX('03_25_OMRI -6500'!$B7:$B403,MATCH($A6,'03_25_OMRI -6500'!$A7:$A403,0))/1.98</f>
        <v>3606.5656565656568</v>
      </c>
      <c r="L6" s="74">
        <f>DSM2_Historic_data!D6</f>
        <v>0</v>
      </c>
      <c r="M6" s="49">
        <f t="shared" si="4"/>
        <v>3606.5656565656568</v>
      </c>
      <c r="N6" s="10">
        <f>INDEX('03_25_OMRI -6500'!$C7:$C403,MATCH($A6,'03_25_OMRI -6500'!$A7:$A403,0))/1.98</f>
        <v>4207.575757575758</v>
      </c>
      <c r="O6" s="74">
        <f>DSM2_Historic_data!E6</f>
        <v>0</v>
      </c>
      <c r="P6" s="49">
        <f t="shared" si="5"/>
        <v>4207.575757575758</v>
      </c>
      <c r="Q6" s="1">
        <v>-5000</v>
      </c>
      <c r="R6" s="8"/>
      <c r="S6" s="1">
        <f t="shared" si="6"/>
        <v>-5000</v>
      </c>
      <c r="T6" s="46">
        <f>INDEX('03_25_OMRI -5000'!$B7:$B396,MATCH($A6,'03_25_OMRI -5000'!$A7:$A396,0))/1.98</f>
        <v>2704.5454545454545</v>
      </c>
      <c r="U6" s="8"/>
      <c r="V6" s="49">
        <f t="shared" si="16"/>
        <v>2704.5454545454545</v>
      </c>
      <c r="W6" s="46">
        <f>INDEX('03_25_OMRI -5000'!$C7:$C396,MATCH($A6,'03_25_OMRI -5000'!$A7:$A396,0))/1.98</f>
        <v>3506.060606060606</v>
      </c>
      <c r="X6" s="8"/>
      <c r="Y6" s="49">
        <f t="shared" si="7"/>
        <v>3506.060606060606</v>
      </c>
      <c r="Z6" s="1">
        <v>-3500</v>
      </c>
      <c r="AA6" s="8"/>
      <c r="AB6" s="1">
        <f t="shared" si="8"/>
        <v>-3500</v>
      </c>
      <c r="AC6" s="11">
        <f>INDEX('03_25_OMRI -3500'!$B7:$B396,MATCH($A6,'03_25_OMRI -3500'!$A7:$A396,0))/1.98</f>
        <v>1803.030303030303</v>
      </c>
      <c r="AD6" s="8"/>
      <c r="AE6" s="49">
        <f t="shared" si="9"/>
        <v>1803.030303030303</v>
      </c>
      <c r="AF6" s="10">
        <f>INDEX('03_25_OMRI -3500'!$C7:$C396,MATCH($A6,'03_25_OMRI -3500'!$A7:$A396,0))/1.98</f>
        <v>2704.5454545454545</v>
      </c>
      <c r="AG6" s="8"/>
      <c r="AH6" s="49">
        <f t="shared" si="10"/>
        <v>2704.5454545454545</v>
      </c>
      <c r="AI6" s="9">
        <v>-2000</v>
      </c>
      <c r="AJ6" s="8"/>
      <c r="AK6" s="1">
        <f t="shared" si="11"/>
        <v>-2000</v>
      </c>
      <c r="AL6" s="11">
        <f>INDEX('03_25_OMRI-2000'!$B7:$B396,MATCH($A6,'03_25_OMRI-2000'!$A7:$A396,0))/1.98</f>
        <v>1102.0202020202021</v>
      </c>
      <c r="AM6" s="8"/>
      <c r="AN6" s="49">
        <f t="shared" si="12"/>
        <v>1102.0202020202021</v>
      </c>
      <c r="AO6" s="10">
        <f>INDEX('03_25_OMRI-2000'!$C7:$C396,MATCH($A6,'03_25_OMRI-2000'!$A7:$A396,0))/1.98</f>
        <v>1803.030303030303</v>
      </c>
      <c r="AP6" s="8"/>
      <c r="AQ6" s="49">
        <f t="shared" si="13"/>
        <v>1803.030303030303</v>
      </c>
      <c r="AS6" s="12">
        <f t="shared" si="14"/>
        <v>0.53845656670113751</v>
      </c>
      <c r="AT6" s="12">
        <f t="shared" si="15"/>
        <v>0.56452793364235188</v>
      </c>
      <c r="AU6" s="12">
        <f t="shared" si="17"/>
        <v>0.6</v>
      </c>
      <c r="AV6" s="12">
        <f t="shared" si="18"/>
        <v>0.62065368567454793</v>
      </c>
    </row>
    <row r="7" spans="1:48" ht="14.4" x14ac:dyDescent="0.3">
      <c r="A7" s="6">
        <f t="shared" si="19"/>
        <v>46109</v>
      </c>
      <c r="B7" s="7">
        <f>INDEX('03_25_OMRI-2000'!$E$4:$E$393,MATCH($A7,'03_25_OMRI-2000'!$A$4:$A$393,0))</f>
        <v>13460</v>
      </c>
      <c r="C7" s="74">
        <f>DSM2_Historic_data!B7</f>
        <v>0</v>
      </c>
      <c r="D7" s="1">
        <f t="shared" si="0"/>
        <v>13460</v>
      </c>
      <c r="E7" s="7">
        <f>INDEX('03_25_OMRI-2000'!$D$4:$D$393,MATCH($A7,'03_25_OMRI-2000'!$A$4:$A$393,0))</f>
        <v>1959</v>
      </c>
      <c r="F7" s="74">
        <f>DSM2_Historic_data!C7</f>
        <v>0</v>
      </c>
      <c r="G7" s="1">
        <f t="shared" si="1"/>
        <v>1959</v>
      </c>
      <c r="H7" s="9">
        <f t="shared" si="2"/>
        <v>-6500</v>
      </c>
      <c r="I7" s="8"/>
      <c r="J7" s="1">
        <f t="shared" si="3"/>
        <v>-6500</v>
      </c>
      <c r="K7" s="10">
        <f>INDEX('03_25_OMRI -6500'!$B8:$B404,MATCH($A7,'03_25_OMRI -6500'!$A8:$A404,0))/1.98</f>
        <v>3506.060606060606</v>
      </c>
      <c r="L7" s="74">
        <f>DSM2_Historic_data!D7</f>
        <v>0</v>
      </c>
      <c r="M7" s="49">
        <f t="shared" si="4"/>
        <v>3506.060606060606</v>
      </c>
      <c r="N7" s="10">
        <f>INDEX('03_25_OMRI -6500'!$C8:$C404,MATCH($A7,'03_25_OMRI -6500'!$A8:$A404,0))/1.98</f>
        <v>4207.575757575758</v>
      </c>
      <c r="O7" s="74">
        <f>DSM2_Historic_data!E7</f>
        <v>0</v>
      </c>
      <c r="P7" s="49">
        <f t="shared" si="5"/>
        <v>4207.575757575758</v>
      </c>
      <c r="Q7" s="1">
        <v>-5000</v>
      </c>
      <c r="R7" s="8"/>
      <c r="S7" s="1">
        <f t="shared" si="6"/>
        <v>-5000</v>
      </c>
      <c r="T7" s="46">
        <f>INDEX('03_25_OMRI -5000'!$B8:$B397,MATCH($A7,'03_25_OMRI -5000'!$A8:$A397,0))/1.98</f>
        <v>2604.5454545454545</v>
      </c>
      <c r="U7" s="8"/>
      <c r="V7" s="49">
        <f t="shared" si="16"/>
        <v>2604.5454545454545</v>
      </c>
      <c r="W7" s="46">
        <f>INDEX('03_25_OMRI -5000'!$C8:$C397,MATCH($A7,'03_25_OMRI -5000'!$A8:$A397,0))/1.98</f>
        <v>3506.060606060606</v>
      </c>
      <c r="X7" s="8"/>
      <c r="Y7" s="49">
        <f t="shared" si="7"/>
        <v>3506.060606060606</v>
      </c>
      <c r="Z7" s="1">
        <v>-3500</v>
      </c>
      <c r="AA7" s="8"/>
      <c r="AB7" s="1">
        <f t="shared" si="8"/>
        <v>-3500</v>
      </c>
      <c r="AC7" s="11">
        <f>INDEX('03_25_OMRI -3500'!$B8:$B397,MATCH($A7,'03_25_OMRI -3500'!$A8:$A397,0))/1.98</f>
        <v>1703.030303030303</v>
      </c>
      <c r="AD7" s="8"/>
      <c r="AE7" s="49">
        <f t="shared" si="9"/>
        <v>1703.030303030303</v>
      </c>
      <c r="AF7" s="10">
        <f>INDEX('03_25_OMRI -3500'!$C8:$C397,MATCH($A7,'03_25_OMRI -3500'!$A8:$A397,0))/1.98</f>
        <v>2704.5454545454545</v>
      </c>
      <c r="AG7" s="8"/>
      <c r="AH7" s="49">
        <f t="shared" si="10"/>
        <v>2704.5454545454545</v>
      </c>
      <c r="AI7" s="9">
        <v>-2000</v>
      </c>
      <c r="AJ7" s="8"/>
      <c r="AK7" s="1">
        <f t="shared" si="11"/>
        <v>-2000</v>
      </c>
      <c r="AL7" s="11">
        <f>INDEX('03_25_OMRI-2000'!$B8:$B397,MATCH($A7,'03_25_OMRI-2000'!$A8:$A397,0))/1.98</f>
        <v>1002.0202020202021</v>
      </c>
      <c r="AM7" s="8"/>
      <c r="AN7" s="49">
        <f t="shared" si="12"/>
        <v>1002.0202020202021</v>
      </c>
      <c r="AO7" s="10">
        <f>INDEX('03_25_OMRI-2000'!$C8:$C397,MATCH($A7,'03_25_OMRI-2000'!$A8:$A397,0))/1.98</f>
        <v>1803.030303030303</v>
      </c>
      <c r="AP7" s="8"/>
      <c r="AQ7" s="49">
        <f t="shared" si="13"/>
        <v>1803.030303030303</v>
      </c>
      <c r="AS7" s="12">
        <f t="shared" si="14"/>
        <v>0.54547240227853078</v>
      </c>
      <c r="AT7" s="12">
        <f t="shared" si="15"/>
        <v>0.57376642697743618</v>
      </c>
      <c r="AU7" s="12">
        <f t="shared" si="17"/>
        <v>0.61361292540391876</v>
      </c>
      <c r="AV7" s="12">
        <f t="shared" si="18"/>
        <v>0.64277997839395029</v>
      </c>
    </row>
    <row r="8" spans="1:48" ht="14.4" x14ac:dyDescent="0.3">
      <c r="A8" s="6">
        <f t="shared" si="19"/>
        <v>46110</v>
      </c>
      <c r="B8" s="7">
        <f>INDEX('03_25_OMRI-2000'!$E$4:$E$393,MATCH($A8,'03_25_OMRI-2000'!$A$4:$A$393,0))</f>
        <v>13111</v>
      </c>
      <c r="C8" s="74">
        <f>DSM2_Historic_data!B8</f>
        <v>0</v>
      </c>
      <c r="D8" s="1">
        <f>B8</f>
        <v>13111</v>
      </c>
      <c r="E8" s="7">
        <f>INDEX('03_25_OMRI-2000'!$D$4:$D$393,MATCH($A8,'03_25_OMRI-2000'!$A$4:$A$393,0))</f>
        <v>1894</v>
      </c>
      <c r="F8" s="74">
        <f>DSM2_Historic_data!C8</f>
        <v>0</v>
      </c>
      <c r="G8" s="1">
        <f>E8</f>
        <v>1894</v>
      </c>
      <c r="H8" s="9">
        <f t="shared" si="2"/>
        <v>-6500</v>
      </c>
      <c r="I8" s="8"/>
      <c r="J8" s="1">
        <f>H8</f>
        <v>-6500</v>
      </c>
      <c r="K8" s="10">
        <f>INDEX('03_25_OMRI -6500'!$B9:$B405,MATCH($A8,'03_25_OMRI -6500'!$A9:$A405,0))/1.98</f>
        <v>3506.060606060606</v>
      </c>
      <c r="L8" s="74">
        <f>DSM2_Historic_data!D8</f>
        <v>0</v>
      </c>
      <c r="M8" s="49">
        <f>K8</f>
        <v>3506.060606060606</v>
      </c>
      <c r="N8" s="10">
        <f>INDEX('03_25_OMRI -6500'!$C9:$C405,MATCH($A8,'03_25_OMRI -6500'!$A9:$A405,0))/1.98</f>
        <v>4207.575757575758</v>
      </c>
      <c r="O8" s="74">
        <f>DSM2_Historic_data!E8</f>
        <v>0</v>
      </c>
      <c r="P8" s="49">
        <f>N8</f>
        <v>4207.575757575758</v>
      </c>
      <c r="Q8" s="1">
        <v>-5000</v>
      </c>
      <c r="R8" s="8"/>
      <c r="S8" s="1">
        <f>Q8</f>
        <v>-5000</v>
      </c>
      <c r="T8" s="46">
        <f>INDEX('03_25_OMRI -5000'!$B9:$B398,MATCH($A8,'03_25_OMRI -5000'!$A9:$A398,0))/1.98</f>
        <v>2504.5454545454545</v>
      </c>
      <c r="U8" s="8"/>
      <c r="V8" s="49">
        <f>T8</f>
        <v>2504.5454545454545</v>
      </c>
      <c r="W8" s="46">
        <f>INDEX('03_25_OMRI -5000'!$C9:$C398,MATCH($A8,'03_25_OMRI -5000'!$A9:$A398,0))/1.98</f>
        <v>3506.060606060606</v>
      </c>
      <c r="X8" s="8"/>
      <c r="Y8" s="49">
        <f>W8</f>
        <v>3506.060606060606</v>
      </c>
      <c r="Z8" s="1">
        <v>-3500</v>
      </c>
      <c r="AA8" s="8"/>
      <c r="AB8" s="1">
        <f>Z8</f>
        <v>-3500</v>
      </c>
      <c r="AC8" s="11">
        <f>INDEX('03_25_OMRI -3500'!$B9:$B398,MATCH($A8,'03_25_OMRI -3500'!$A9:$A398,0))/1.98</f>
        <v>1703.030303030303</v>
      </c>
      <c r="AD8" s="8"/>
      <c r="AE8" s="49">
        <f>AC8</f>
        <v>1703.030303030303</v>
      </c>
      <c r="AF8" s="10">
        <f>INDEX('03_25_OMRI -3500'!$C9:$C398,MATCH($A8,'03_25_OMRI -3500'!$A9:$A398,0))/1.98</f>
        <v>2704.5454545454545</v>
      </c>
      <c r="AG8" s="8"/>
      <c r="AH8" s="49">
        <f>AF8</f>
        <v>2704.5454545454545</v>
      </c>
      <c r="AI8" s="9">
        <v>-2000</v>
      </c>
      <c r="AJ8" s="8"/>
      <c r="AK8" s="1">
        <f>AI8</f>
        <v>-2000</v>
      </c>
      <c r="AL8" s="11">
        <f>INDEX('03_25_OMRI-2000'!$B9:$B398,MATCH($A8,'03_25_OMRI-2000'!$A9:$A398,0))/1.98</f>
        <v>901.5151515151515</v>
      </c>
      <c r="AM8" s="8"/>
      <c r="AN8" s="49">
        <f>AL8</f>
        <v>901.5151515151515</v>
      </c>
      <c r="AO8" s="10">
        <f>INDEX('03_25_OMRI-2000'!$C9:$C398,MATCH($A8,'03_25_OMRI-2000'!$A9:$A398,0))/1.98</f>
        <v>1803.030303030303</v>
      </c>
      <c r="AP8" s="8"/>
      <c r="AQ8" s="49">
        <f>AO8</f>
        <v>1803.030303030303</v>
      </c>
      <c r="AS8" s="12">
        <f t="shared" si="14"/>
        <v>0.54547240227853078</v>
      </c>
      <c r="AT8" s="12">
        <f t="shared" si="15"/>
        <v>0.58331232669523569</v>
      </c>
      <c r="AU8" s="12">
        <f t="shared" si="17"/>
        <v>0.61361292540391876</v>
      </c>
      <c r="AV8" s="12">
        <f t="shared" si="18"/>
        <v>0.66666666666666663</v>
      </c>
    </row>
    <row r="9" spans="1:48" ht="14.4" x14ac:dyDescent="0.3">
      <c r="A9" s="6">
        <f t="shared" si="19"/>
        <v>46111</v>
      </c>
      <c r="B9" s="13">
        <f>INDEX('03_25_OMRI-2000'!$E$4:$E$393,MATCH($A9,'03_25_OMRI-2000'!$A$4:$A$393,0))</f>
        <v>12833</v>
      </c>
      <c r="C9" s="14"/>
      <c r="D9" s="1">
        <f t="shared" ref="D9:D24" si="20">B9</f>
        <v>12833</v>
      </c>
      <c r="E9" s="13">
        <f>INDEX('03_25_OMRI-2000'!$D$4:$D$393,MATCH($A9,'03_25_OMRI-2000'!$A$4:$A$393,0))</f>
        <v>1894</v>
      </c>
      <c r="F9" s="14"/>
      <c r="G9" s="1">
        <f>E9</f>
        <v>1894</v>
      </c>
      <c r="H9" s="15">
        <f t="shared" si="2"/>
        <v>-6500</v>
      </c>
      <c r="I9" s="14"/>
      <c r="J9" s="1">
        <f>H9</f>
        <v>-6500</v>
      </c>
      <c r="K9" s="16">
        <f>INDEX('03_25_OMRI -6500'!$B10:$B406,MATCH($A9,'03_25_OMRI -6500'!$A10:$A406,0))/1.98</f>
        <v>3406.060606060606</v>
      </c>
      <c r="L9" s="14"/>
      <c r="M9" s="49">
        <f>K9</f>
        <v>3406.060606060606</v>
      </c>
      <c r="N9" s="16">
        <f>INDEX('03_25_OMRI -6500'!$C10:$C406,MATCH($A9,'03_25_OMRI -6500'!$A10:$A406,0))/1.98</f>
        <v>4207.575757575758</v>
      </c>
      <c r="O9" s="14"/>
      <c r="P9" s="69">
        <f>N9</f>
        <v>4207.575757575758</v>
      </c>
      <c r="Q9" s="1">
        <v>-5000</v>
      </c>
      <c r="R9" s="14"/>
      <c r="S9" s="1">
        <f t="shared" ref="S9:S24" si="21">Q9</f>
        <v>-5000</v>
      </c>
      <c r="T9" s="71">
        <f>INDEX('03_25_OMRI -5000'!$B10:$B399,MATCH($A9,'03_25_OMRI -5000'!$A10:$A399,0))/1.98</f>
        <v>2504.5454545454545</v>
      </c>
      <c r="U9" s="14"/>
      <c r="V9" s="49">
        <f t="shared" ref="V9:V24" si="22">T9</f>
        <v>2504.5454545454545</v>
      </c>
      <c r="W9" s="71">
        <f>INDEX('03_25_OMRI -5000'!$C10:$C399,MATCH($A9,'03_25_OMRI -5000'!$A10:$A399,0))/1.98</f>
        <v>3506.060606060606</v>
      </c>
      <c r="X9" s="14"/>
      <c r="Y9" s="69">
        <f>W9</f>
        <v>3506.060606060606</v>
      </c>
      <c r="Z9" s="1">
        <v>-3500</v>
      </c>
      <c r="AA9" s="14"/>
      <c r="AB9" s="5">
        <f>Z9</f>
        <v>-3500</v>
      </c>
      <c r="AC9" s="17">
        <f>INDEX('03_25_OMRI -3500'!$B10:$B399,MATCH($A9,'03_25_OMRI -3500'!$A10:$A399,0))/1.98</f>
        <v>1703.030303030303</v>
      </c>
      <c r="AD9" s="14"/>
      <c r="AE9" s="49">
        <f>AC9</f>
        <v>1703.030303030303</v>
      </c>
      <c r="AF9" s="16">
        <f>INDEX('03_25_OMRI -3500'!$C10:$C399,MATCH($A9,'03_25_OMRI -3500'!$A10:$A399,0))/1.98</f>
        <v>2704.5454545454545</v>
      </c>
      <c r="AG9" s="14"/>
      <c r="AH9" s="69">
        <f>AF9</f>
        <v>2704.5454545454545</v>
      </c>
      <c r="AI9" s="9">
        <v>-2000</v>
      </c>
      <c r="AJ9" s="14"/>
      <c r="AK9" s="1">
        <f>AI9</f>
        <v>-2000</v>
      </c>
      <c r="AL9" s="17">
        <f>INDEX('03_25_OMRI-2000'!$B10:$B399,MATCH($A9,'03_25_OMRI-2000'!$A10:$A399,0))/1.98</f>
        <v>901.5151515151515</v>
      </c>
      <c r="AM9" s="14"/>
      <c r="AN9" s="49">
        <f>AL9</f>
        <v>901.5151515151515</v>
      </c>
      <c r="AO9" s="16">
        <f>INDEX('03_25_OMRI-2000'!$C10:$C399,MATCH($A9,'03_25_OMRI-2000'!$A10:$A399,0))/1.98</f>
        <v>1803.030303030303</v>
      </c>
      <c r="AP9" s="14"/>
      <c r="AQ9" s="69">
        <f>AO9</f>
        <v>1803.030303030303</v>
      </c>
      <c r="AS9" s="12">
        <f t="shared" si="14"/>
        <v>0.55263681592039804</v>
      </c>
      <c r="AT9" s="12">
        <f t="shared" si="15"/>
        <v>0.58331232669523569</v>
      </c>
      <c r="AU9" s="12">
        <f t="shared" si="17"/>
        <v>0.61361292540391876</v>
      </c>
      <c r="AV9" s="12">
        <f t="shared" si="18"/>
        <v>0.66666666666666663</v>
      </c>
    </row>
    <row r="10" spans="1:48" ht="14.4" x14ac:dyDescent="0.3">
      <c r="A10" s="6">
        <f t="shared" si="19"/>
        <v>46112</v>
      </c>
      <c r="B10" s="13">
        <f>INDEX('03_25_OMRI-2000'!$E$4:$E$393,MATCH($A10,'03_25_OMRI-2000'!$A$4:$A$393,0))</f>
        <v>12668</v>
      </c>
      <c r="C10" s="14"/>
      <c r="D10" s="1">
        <f t="shared" si="20"/>
        <v>12668</v>
      </c>
      <c r="E10" s="13">
        <f>INDEX('03_25_OMRI-2000'!$D$4:$D$393,MATCH($A10,'03_25_OMRI-2000'!$A$4:$A$393,0))</f>
        <v>1894</v>
      </c>
      <c r="F10" s="14"/>
      <c r="G10" s="1">
        <f t="shared" ref="G10:G24" si="23">E10</f>
        <v>1894</v>
      </c>
      <c r="H10" s="15">
        <f t="shared" si="2"/>
        <v>-6500</v>
      </c>
      <c r="I10" s="14"/>
      <c r="J10" s="1">
        <f t="shared" ref="J10:J24" si="24">H10</f>
        <v>-6500</v>
      </c>
      <c r="K10" s="16">
        <f>INDEX('03_25_OMRI -6500'!$B11:$B407,MATCH($A10,'03_25_OMRI -6500'!$A11:$A407,0))/1.98</f>
        <v>3406.060606060606</v>
      </c>
      <c r="L10" s="14"/>
      <c r="M10" s="49">
        <f t="shared" ref="M10:M24" si="25">K10</f>
        <v>3406.060606060606</v>
      </c>
      <c r="N10" s="16">
        <f>INDEX('03_25_OMRI -6500'!$C11:$C407,MATCH($A10,'03_25_OMRI -6500'!$A11:$A407,0))/1.98</f>
        <v>4207.575757575758</v>
      </c>
      <c r="O10" s="14"/>
      <c r="P10" s="69">
        <f t="shared" ref="P10:P24" si="26">N10</f>
        <v>4207.575757575758</v>
      </c>
      <c r="Q10" s="1">
        <v>-5000</v>
      </c>
      <c r="R10" s="14"/>
      <c r="S10" s="1">
        <f t="shared" si="21"/>
        <v>-5000</v>
      </c>
      <c r="T10" s="71">
        <f>INDEX('03_25_OMRI -5000'!$B11:$B400,MATCH($A10,'03_25_OMRI -5000'!$A11:$A400,0))/1.98</f>
        <v>2504.5454545454545</v>
      </c>
      <c r="U10" s="14"/>
      <c r="V10" s="49">
        <f t="shared" si="22"/>
        <v>2504.5454545454545</v>
      </c>
      <c r="W10" s="71">
        <f>INDEX('03_25_OMRI -5000'!$C11:$C400,MATCH($A10,'03_25_OMRI -5000'!$A11:$A400,0))/1.98</f>
        <v>3506.060606060606</v>
      </c>
      <c r="X10" s="14"/>
      <c r="Y10" s="69">
        <f t="shared" ref="Y10:Y24" si="27">W10</f>
        <v>3506.060606060606</v>
      </c>
      <c r="Z10" s="1">
        <v>-3500</v>
      </c>
      <c r="AA10" s="14"/>
      <c r="AB10" s="5">
        <f t="shared" ref="AB10:AB24" si="28">Z10</f>
        <v>-3500</v>
      </c>
      <c r="AC10" s="17">
        <f>INDEX('03_25_OMRI -3500'!$B11:$B400,MATCH($A10,'03_25_OMRI -3500'!$A11:$A400,0))/1.98</f>
        <v>1603.030303030303</v>
      </c>
      <c r="AD10" s="14"/>
      <c r="AE10" s="49">
        <f t="shared" ref="AE10:AE24" si="29">AC10</f>
        <v>1603.030303030303</v>
      </c>
      <c r="AF10" s="16">
        <f>INDEX('03_25_OMRI -3500'!$C11:$C400,MATCH($A10,'03_25_OMRI -3500'!$A11:$A400,0))/1.98</f>
        <v>2704.5454545454545</v>
      </c>
      <c r="AG10" s="14"/>
      <c r="AH10" s="69">
        <f t="shared" ref="AH10:AH24" si="30">AF10</f>
        <v>2704.5454545454545</v>
      </c>
      <c r="AI10" s="9">
        <v>-2000</v>
      </c>
      <c r="AJ10" s="14"/>
      <c r="AK10" s="1">
        <f t="shared" ref="AK10:AK24" si="31">AI10</f>
        <v>-2000</v>
      </c>
      <c r="AL10" s="17">
        <f>INDEX('03_25_OMRI-2000'!$B11:$B400,MATCH($A10,'03_25_OMRI-2000'!$A11:$A400,0))/1.98</f>
        <v>901.5151515151515</v>
      </c>
      <c r="AM10" s="14"/>
      <c r="AN10" s="49">
        <f t="shared" ref="AN10:AN24" si="32">AL10</f>
        <v>901.5151515151515</v>
      </c>
      <c r="AO10" s="16">
        <f>INDEX('03_25_OMRI-2000'!$C11:$C400,MATCH($A10,'03_25_OMRI-2000'!$A11:$A400,0))/1.98</f>
        <v>1803.030303030303</v>
      </c>
      <c r="AP10" s="14"/>
      <c r="AQ10" s="69">
        <f t="shared" ref="AQ10:AQ24" si="33">AO10</f>
        <v>1803.030303030303</v>
      </c>
      <c r="AS10" s="12">
        <f t="shared" si="14"/>
        <v>0.55263681592039804</v>
      </c>
      <c r="AT10" s="12">
        <f t="shared" si="15"/>
        <v>0.58331232669523569</v>
      </c>
      <c r="AU10" s="12">
        <f t="shared" si="17"/>
        <v>0.62785789658811109</v>
      </c>
      <c r="AV10" s="12">
        <f t="shared" si="18"/>
        <v>0.66666666666666663</v>
      </c>
    </row>
    <row r="11" spans="1:48" ht="14.4" x14ac:dyDescent="0.3">
      <c r="A11" s="6">
        <f t="shared" si="19"/>
        <v>46113</v>
      </c>
      <c r="B11" s="13">
        <f>INDEX('03_25_OMRI-2000'!$E$4:$E$393,MATCH($A11,'03_25_OMRI-2000'!$A$4:$A$393,0))</f>
        <v>12665</v>
      </c>
      <c r="C11" s="14"/>
      <c r="D11" s="1">
        <f t="shared" si="20"/>
        <v>12665</v>
      </c>
      <c r="E11" s="13">
        <f>INDEX('03_25_OMRI-2000'!$D$4:$D$393,MATCH($A11,'03_25_OMRI-2000'!$A$4:$A$393,0))</f>
        <v>2000</v>
      </c>
      <c r="F11" s="14"/>
      <c r="G11" s="1">
        <f t="shared" si="23"/>
        <v>2000</v>
      </c>
      <c r="H11" s="15">
        <f t="shared" si="2"/>
        <v>-6500</v>
      </c>
      <c r="I11" s="14"/>
      <c r="J11" s="1">
        <f t="shared" si="24"/>
        <v>-6500</v>
      </c>
      <c r="K11" s="16">
        <f>INDEX('03_25_OMRI -6500'!$B12:$B408,MATCH($A11,'03_25_OMRI -6500'!$A12:$A408,0))/1.98</f>
        <v>601.01010101010104</v>
      </c>
      <c r="L11" s="14"/>
      <c r="M11" s="49">
        <f t="shared" si="25"/>
        <v>601.01010101010104</v>
      </c>
      <c r="N11" s="16">
        <f>INDEX('03_25_OMRI -6500'!$C12:$C408,MATCH($A11,'03_25_OMRI -6500'!$A12:$A408,0))/1.98</f>
        <v>4207.575757575758</v>
      </c>
      <c r="O11" s="14"/>
      <c r="P11" s="69">
        <f t="shared" si="26"/>
        <v>4207.575757575758</v>
      </c>
      <c r="Q11" s="1">
        <v>-5000</v>
      </c>
      <c r="R11" s="14"/>
      <c r="S11" s="1">
        <f t="shared" si="21"/>
        <v>-5000</v>
      </c>
      <c r="T11" s="71">
        <f>INDEX('03_25_OMRI -5000'!$B12:$B401,MATCH($A11,'03_25_OMRI -5000'!$A12:$A401,0))/1.98</f>
        <v>601.01010101010104</v>
      </c>
      <c r="U11" s="14"/>
      <c r="V11" s="49">
        <f t="shared" si="22"/>
        <v>601.01010101010104</v>
      </c>
      <c r="W11" s="71">
        <f>INDEX('03_25_OMRI -5000'!$C12:$C401,MATCH($A11,'03_25_OMRI -5000'!$A12:$A401,0))/1.98</f>
        <v>3506.060606060606</v>
      </c>
      <c r="X11" s="14"/>
      <c r="Y11" s="69">
        <f t="shared" si="27"/>
        <v>3506.060606060606</v>
      </c>
      <c r="Z11" s="1">
        <v>-3500</v>
      </c>
      <c r="AA11" s="14"/>
      <c r="AB11" s="5">
        <f t="shared" si="28"/>
        <v>-3500</v>
      </c>
      <c r="AC11" s="17">
        <f>INDEX('03_25_OMRI -3500'!$B12:$B401,MATCH($A11,'03_25_OMRI -3500'!$A12:$A401,0))/1.98</f>
        <v>601.01010101010104</v>
      </c>
      <c r="AD11" s="14"/>
      <c r="AE11" s="49">
        <f t="shared" si="29"/>
        <v>601.01010101010104</v>
      </c>
      <c r="AF11" s="16">
        <f>INDEX('03_25_OMRI -3500'!$C12:$C401,MATCH($A11,'03_25_OMRI -3500'!$A12:$A401,0))/1.98</f>
        <v>2704.5454545454545</v>
      </c>
      <c r="AG11" s="14"/>
      <c r="AH11" s="69">
        <f t="shared" si="30"/>
        <v>2704.5454545454545</v>
      </c>
      <c r="AI11" s="9">
        <v>-2000</v>
      </c>
      <c r="AJ11" s="14"/>
      <c r="AK11" s="1">
        <f t="shared" si="31"/>
        <v>-2000</v>
      </c>
      <c r="AL11" s="17">
        <f>INDEX('03_25_OMRI-2000'!$B12:$B401,MATCH($A11,'03_25_OMRI-2000'!$A12:$A401,0))/1.98</f>
        <v>601.01010101010104</v>
      </c>
      <c r="AM11" s="14"/>
      <c r="AN11" s="49">
        <f t="shared" si="32"/>
        <v>601.01010101010104</v>
      </c>
      <c r="AO11" s="16">
        <f>INDEX('03_25_OMRI-2000'!$C12:$C401,MATCH($A11,'03_25_OMRI-2000'!$A12:$A401,0))/1.98</f>
        <v>1803.030303030303</v>
      </c>
      <c r="AP11" s="14"/>
      <c r="AQ11" s="69">
        <f t="shared" si="33"/>
        <v>1803.030303030303</v>
      </c>
      <c r="AS11" s="12">
        <f t="shared" si="14"/>
        <v>0.87501312887301763</v>
      </c>
      <c r="AT11" s="12">
        <f t="shared" si="15"/>
        <v>0.85366453516969998</v>
      </c>
      <c r="AU11" s="12">
        <f t="shared" si="17"/>
        <v>0.81818181818181812</v>
      </c>
      <c r="AV11" s="12">
        <f t="shared" si="18"/>
        <v>0.75</v>
      </c>
    </row>
    <row r="12" spans="1:48" ht="14.4" x14ac:dyDescent="0.3">
      <c r="A12" s="6">
        <f t="shared" si="19"/>
        <v>46114</v>
      </c>
      <c r="B12" s="13">
        <f>INDEX('03_25_OMRI-2000'!$E$4:$E$393,MATCH($A12,'03_25_OMRI-2000'!$A$4:$A$393,0))</f>
        <v>12975</v>
      </c>
      <c r="C12" s="14"/>
      <c r="D12" s="1">
        <f t="shared" si="20"/>
        <v>12975</v>
      </c>
      <c r="E12" s="13">
        <f>INDEX('03_25_OMRI-2000'!$D$4:$D$393,MATCH($A12,'03_25_OMRI-2000'!$A$4:$A$393,0))</f>
        <v>2000</v>
      </c>
      <c r="F12" s="14"/>
      <c r="G12" s="1">
        <f t="shared" si="23"/>
        <v>2000</v>
      </c>
      <c r="H12" s="15">
        <f t="shared" si="2"/>
        <v>-6500</v>
      </c>
      <c r="I12" s="14"/>
      <c r="J12" s="1">
        <f t="shared" si="24"/>
        <v>-6500</v>
      </c>
      <c r="K12" s="16">
        <f>INDEX('03_25_OMRI -6500'!$B13:$B409,MATCH($A12,'03_25_OMRI -6500'!$A13:$A409,0))/1.98</f>
        <v>601.01010101010104</v>
      </c>
      <c r="L12" s="14"/>
      <c r="M12" s="49">
        <f t="shared" si="25"/>
        <v>601.01010101010104</v>
      </c>
      <c r="N12" s="16">
        <f>INDEX('03_25_OMRI -6500'!$C13:$C409,MATCH($A12,'03_25_OMRI -6500'!$A13:$A409,0))/1.98</f>
        <v>4207.575757575758</v>
      </c>
      <c r="O12" s="14"/>
      <c r="P12" s="69">
        <f t="shared" si="26"/>
        <v>4207.575757575758</v>
      </c>
      <c r="Q12" s="1">
        <v>-5000</v>
      </c>
      <c r="R12" s="14"/>
      <c r="S12" s="1">
        <f t="shared" si="21"/>
        <v>-5000</v>
      </c>
      <c r="T12" s="71">
        <f>INDEX('03_25_OMRI -5000'!$B13:$B402,MATCH($A12,'03_25_OMRI -5000'!$A13:$A402,0))/1.98</f>
        <v>601.01010101010104</v>
      </c>
      <c r="U12" s="14"/>
      <c r="V12" s="49">
        <f t="shared" si="22"/>
        <v>601.01010101010104</v>
      </c>
      <c r="W12" s="71">
        <f>INDEX('03_25_OMRI -5000'!$C13:$C402,MATCH($A12,'03_25_OMRI -5000'!$A13:$A402,0))/1.98</f>
        <v>3506.060606060606</v>
      </c>
      <c r="X12" s="14"/>
      <c r="Y12" s="69">
        <f t="shared" si="27"/>
        <v>3506.060606060606</v>
      </c>
      <c r="Z12" s="1">
        <v>-3500</v>
      </c>
      <c r="AA12" s="14"/>
      <c r="AB12" s="5">
        <f t="shared" si="28"/>
        <v>-3500</v>
      </c>
      <c r="AC12" s="17">
        <f>INDEX('03_25_OMRI -3500'!$B13:$B402,MATCH($A12,'03_25_OMRI -3500'!$A13:$A402,0))/1.98</f>
        <v>601.01010101010104</v>
      </c>
      <c r="AD12" s="14"/>
      <c r="AE12" s="49">
        <f t="shared" si="29"/>
        <v>601.01010101010104</v>
      </c>
      <c r="AF12" s="16">
        <f>INDEX('03_25_OMRI -3500'!$C13:$C402,MATCH($A12,'03_25_OMRI -3500'!$A13:$A402,0))/1.98</f>
        <v>2704.5454545454545</v>
      </c>
      <c r="AG12" s="14"/>
      <c r="AH12" s="69">
        <f t="shared" si="30"/>
        <v>2704.5454545454545</v>
      </c>
      <c r="AI12" s="9">
        <v>-2000</v>
      </c>
      <c r="AJ12" s="14"/>
      <c r="AK12" s="1">
        <f t="shared" si="31"/>
        <v>-2000</v>
      </c>
      <c r="AL12" s="17">
        <f>INDEX('03_25_OMRI-2000'!$B13:$B402,MATCH($A12,'03_25_OMRI-2000'!$A13:$A402,0))/1.98</f>
        <v>601.01010101010104</v>
      </c>
      <c r="AM12" s="14"/>
      <c r="AN12" s="49">
        <f t="shared" si="32"/>
        <v>601.01010101010104</v>
      </c>
      <c r="AO12" s="16">
        <f>INDEX('03_25_OMRI-2000'!$C13:$C402,MATCH($A12,'03_25_OMRI-2000'!$A13:$A402,0))/1.98</f>
        <v>1803.030303030303</v>
      </c>
      <c r="AP12" s="14"/>
      <c r="AQ12" s="69">
        <f t="shared" si="33"/>
        <v>1803.030303030303</v>
      </c>
      <c r="AS12" s="12">
        <f t="shared" si="14"/>
        <v>0.87501312887301763</v>
      </c>
      <c r="AT12" s="12">
        <f t="shared" si="15"/>
        <v>0.85366453516969998</v>
      </c>
      <c r="AU12" s="12">
        <f t="shared" si="17"/>
        <v>0.81818181818181812</v>
      </c>
      <c r="AV12" s="12">
        <f t="shared" si="18"/>
        <v>0.75</v>
      </c>
    </row>
    <row r="13" spans="1:48" ht="14.4" x14ac:dyDescent="0.3">
      <c r="A13" s="6">
        <f t="shared" si="19"/>
        <v>46115</v>
      </c>
      <c r="B13" s="13">
        <f>INDEX('03_25_OMRI-2000'!$E$4:$E$393,MATCH($A13,'03_25_OMRI-2000'!$A$4:$A$393,0))</f>
        <v>13907</v>
      </c>
      <c r="C13" s="14"/>
      <c r="D13" s="1">
        <f t="shared" si="20"/>
        <v>13907</v>
      </c>
      <c r="E13" s="13">
        <f>INDEX('03_25_OMRI-2000'!$D$4:$D$393,MATCH($A13,'03_25_OMRI-2000'!$A$4:$A$393,0))</f>
        <v>2000</v>
      </c>
      <c r="F13" s="14"/>
      <c r="G13" s="1">
        <f t="shared" si="23"/>
        <v>2000</v>
      </c>
      <c r="H13" s="15">
        <f t="shared" si="2"/>
        <v>-6500</v>
      </c>
      <c r="I13" s="14"/>
      <c r="J13" s="1">
        <f t="shared" si="24"/>
        <v>-6500</v>
      </c>
      <c r="K13" s="16">
        <f>INDEX('03_25_OMRI -6500'!$B14:$B410,MATCH($A13,'03_25_OMRI -6500'!$A14:$A410,0))/1.98</f>
        <v>601.01010101010104</v>
      </c>
      <c r="L13" s="14"/>
      <c r="M13" s="49">
        <f t="shared" si="25"/>
        <v>601.01010101010104</v>
      </c>
      <c r="N13" s="16">
        <f>INDEX('03_25_OMRI -6500'!$C14:$C410,MATCH($A13,'03_25_OMRI -6500'!$A14:$A410,0))/1.98</f>
        <v>4207.575757575758</v>
      </c>
      <c r="O13" s="14"/>
      <c r="P13" s="69">
        <f t="shared" si="26"/>
        <v>4207.575757575758</v>
      </c>
      <c r="Q13" s="1">
        <v>-5000</v>
      </c>
      <c r="R13" s="14"/>
      <c r="S13" s="1">
        <f t="shared" si="21"/>
        <v>-5000</v>
      </c>
      <c r="T13" s="71">
        <f>INDEX('03_25_OMRI -5000'!$B14:$B403,MATCH($A13,'03_25_OMRI -5000'!$A14:$A403,0))/1.98</f>
        <v>601.01010101010104</v>
      </c>
      <c r="U13" s="14"/>
      <c r="V13" s="49">
        <f t="shared" si="22"/>
        <v>601.01010101010104</v>
      </c>
      <c r="W13" s="71">
        <f>INDEX('03_25_OMRI -5000'!$C14:$C403,MATCH($A13,'03_25_OMRI -5000'!$A14:$A403,0))/1.98</f>
        <v>3506.060606060606</v>
      </c>
      <c r="X13" s="14"/>
      <c r="Y13" s="69">
        <f t="shared" si="27"/>
        <v>3506.060606060606</v>
      </c>
      <c r="Z13" s="1">
        <v>-3500</v>
      </c>
      <c r="AA13" s="14"/>
      <c r="AB13" s="5">
        <f t="shared" si="28"/>
        <v>-3500</v>
      </c>
      <c r="AC13" s="17">
        <f>INDEX('03_25_OMRI -3500'!$B14:$B403,MATCH($A13,'03_25_OMRI -3500'!$A14:$A403,0))/1.98</f>
        <v>601.01010101010104</v>
      </c>
      <c r="AD13" s="14"/>
      <c r="AE13" s="49">
        <f t="shared" si="29"/>
        <v>601.01010101010104</v>
      </c>
      <c r="AF13" s="16">
        <f>INDEX('03_25_OMRI -3500'!$C14:$C403,MATCH($A13,'03_25_OMRI -3500'!$A14:$A403,0))/1.98</f>
        <v>2704.5454545454545</v>
      </c>
      <c r="AG13" s="14"/>
      <c r="AH13" s="69">
        <f t="shared" si="30"/>
        <v>2704.5454545454545</v>
      </c>
      <c r="AI13" s="9">
        <v>-2000</v>
      </c>
      <c r="AJ13" s="14"/>
      <c r="AK13" s="1">
        <f t="shared" si="31"/>
        <v>-2000</v>
      </c>
      <c r="AL13" s="17">
        <f>INDEX('03_25_OMRI-2000'!$B14:$B403,MATCH($A13,'03_25_OMRI-2000'!$A14:$A403,0))/1.98</f>
        <v>601.01010101010104</v>
      </c>
      <c r="AM13" s="14"/>
      <c r="AN13" s="49">
        <f t="shared" si="32"/>
        <v>601.01010101010104</v>
      </c>
      <c r="AO13" s="16">
        <f>INDEX('03_25_OMRI-2000'!$C14:$C403,MATCH($A13,'03_25_OMRI-2000'!$A14:$A403,0))/1.98</f>
        <v>1803.030303030303</v>
      </c>
      <c r="AP13" s="14"/>
      <c r="AQ13" s="69">
        <f t="shared" si="33"/>
        <v>1803.030303030303</v>
      </c>
      <c r="AS13" s="12">
        <f t="shared" si="14"/>
        <v>0.87501312887301763</v>
      </c>
      <c r="AT13" s="12">
        <f t="shared" si="15"/>
        <v>0.85366453516969998</v>
      </c>
      <c r="AU13" s="12">
        <f t="shared" si="17"/>
        <v>0.81818181818181812</v>
      </c>
      <c r="AV13" s="12">
        <f t="shared" si="18"/>
        <v>0.75</v>
      </c>
    </row>
    <row r="14" spans="1:48" ht="14.4" x14ac:dyDescent="0.3">
      <c r="A14" s="6">
        <f t="shared" si="19"/>
        <v>46116</v>
      </c>
      <c r="B14" s="13">
        <f>INDEX('03_25_OMRI-2000'!$E$4:$E$393,MATCH($A14,'03_25_OMRI-2000'!$A$4:$A$393,0))</f>
        <v>13000</v>
      </c>
      <c r="C14" s="14"/>
      <c r="D14" s="1">
        <f t="shared" si="20"/>
        <v>13000</v>
      </c>
      <c r="E14" s="13">
        <f>INDEX('03_25_OMRI-2000'!$D$4:$D$393,MATCH($A14,'03_25_OMRI-2000'!$A$4:$A$393,0))</f>
        <v>2000</v>
      </c>
      <c r="F14" s="14"/>
      <c r="G14" s="1">
        <f t="shared" si="23"/>
        <v>2000</v>
      </c>
      <c r="H14" s="15">
        <f t="shared" si="2"/>
        <v>-6500</v>
      </c>
      <c r="I14" s="14"/>
      <c r="J14" s="1">
        <f t="shared" si="24"/>
        <v>-6500</v>
      </c>
      <c r="K14" s="16">
        <f>INDEX('03_25_OMRI -6500'!$B15:$B411,MATCH($A14,'03_25_OMRI -6500'!$A15:$A411,0))/1.98</f>
        <v>601.01010101010104</v>
      </c>
      <c r="L14" s="14"/>
      <c r="M14" s="49">
        <f t="shared" si="25"/>
        <v>601.01010101010104</v>
      </c>
      <c r="N14" s="16">
        <f>INDEX('03_25_OMRI -6500'!$C15:$C411,MATCH($A14,'03_25_OMRI -6500'!$A15:$A411,0))/1.98</f>
        <v>4207.575757575758</v>
      </c>
      <c r="O14" s="14"/>
      <c r="P14" s="69">
        <f t="shared" si="26"/>
        <v>4207.575757575758</v>
      </c>
      <c r="Q14" s="1">
        <v>-5000</v>
      </c>
      <c r="R14" s="14"/>
      <c r="S14" s="1">
        <f t="shared" si="21"/>
        <v>-5000</v>
      </c>
      <c r="T14" s="71">
        <f>INDEX('03_25_OMRI -5000'!$B15:$B404,MATCH($A14,'03_25_OMRI -5000'!$A15:$A404,0))/1.98</f>
        <v>601.01010101010104</v>
      </c>
      <c r="U14" s="14"/>
      <c r="V14" s="49">
        <f t="shared" si="22"/>
        <v>601.01010101010104</v>
      </c>
      <c r="W14" s="71">
        <f>INDEX('03_25_OMRI -5000'!$C15:$C404,MATCH($A14,'03_25_OMRI -5000'!$A15:$A404,0))/1.98</f>
        <v>3506.060606060606</v>
      </c>
      <c r="X14" s="14"/>
      <c r="Y14" s="69">
        <f t="shared" si="27"/>
        <v>3506.060606060606</v>
      </c>
      <c r="Z14" s="1">
        <v>-3500</v>
      </c>
      <c r="AA14" s="14"/>
      <c r="AB14" s="5">
        <f t="shared" si="28"/>
        <v>-3500</v>
      </c>
      <c r="AC14" s="17">
        <f>INDEX('03_25_OMRI -3500'!$B15:$B404,MATCH($A14,'03_25_OMRI -3500'!$A15:$A404,0))/1.98</f>
        <v>601.01010101010104</v>
      </c>
      <c r="AD14" s="14"/>
      <c r="AE14" s="49">
        <f t="shared" si="29"/>
        <v>601.01010101010104</v>
      </c>
      <c r="AF14" s="16">
        <f>INDEX('03_25_OMRI -3500'!$C15:$C404,MATCH($A14,'03_25_OMRI -3500'!$A15:$A404,0))/1.98</f>
        <v>2704.5454545454545</v>
      </c>
      <c r="AG14" s="14"/>
      <c r="AH14" s="69">
        <f t="shared" si="30"/>
        <v>2704.5454545454545</v>
      </c>
      <c r="AI14" s="9">
        <v>-2000</v>
      </c>
      <c r="AJ14" s="14"/>
      <c r="AK14" s="1">
        <f t="shared" si="31"/>
        <v>-2000</v>
      </c>
      <c r="AL14" s="17">
        <f>INDEX('03_25_OMRI-2000'!$B15:$B404,MATCH($A14,'03_25_OMRI-2000'!$A15:$A404,0))/1.98</f>
        <v>601.01010101010104</v>
      </c>
      <c r="AM14" s="14"/>
      <c r="AN14" s="49">
        <f t="shared" si="32"/>
        <v>601.01010101010104</v>
      </c>
      <c r="AO14" s="16">
        <f>INDEX('03_25_OMRI-2000'!$C15:$C404,MATCH($A14,'03_25_OMRI-2000'!$A15:$A404,0))/1.98</f>
        <v>1803.030303030303</v>
      </c>
      <c r="AP14" s="14"/>
      <c r="AQ14" s="69">
        <f t="shared" si="33"/>
        <v>1803.030303030303</v>
      </c>
      <c r="AS14" s="12">
        <f t="shared" si="14"/>
        <v>0.87501312887301763</v>
      </c>
      <c r="AT14" s="12">
        <f t="shared" si="15"/>
        <v>0.85366453516969998</v>
      </c>
      <c r="AU14" s="12">
        <f t="shared" si="17"/>
        <v>0.81818181818181812</v>
      </c>
      <c r="AV14" s="12">
        <f t="shared" si="18"/>
        <v>0.75</v>
      </c>
    </row>
    <row r="15" spans="1:48" ht="14.4" x14ac:dyDescent="0.3">
      <c r="A15" s="6">
        <f t="shared" si="19"/>
        <v>46117</v>
      </c>
      <c r="B15" s="13">
        <f>INDEX('03_25_OMRI-2000'!$E$4:$E$393,MATCH($A15,'03_25_OMRI-2000'!$A$4:$A$393,0))</f>
        <v>12000</v>
      </c>
      <c r="C15" s="14"/>
      <c r="D15" s="1">
        <f t="shared" si="20"/>
        <v>12000</v>
      </c>
      <c r="E15" s="13">
        <f>INDEX('03_25_OMRI-2000'!$D$4:$D$393,MATCH($A15,'03_25_OMRI-2000'!$A$4:$A$393,0))</f>
        <v>2000</v>
      </c>
      <c r="F15" s="14"/>
      <c r="G15" s="1">
        <f t="shared" si="23"/>
        <v>2000</v>
      </c>
      <c r="H15" s="15">
        <f t="shared" si="2"/>
        <v>-6500</v>
      </c>
      <c r="I15" s="14"/>
      <c r="J15" s="1">
        <f t="shared" si="24"/>
        <v>-6500</v>
      </c>
      <c r="K15" s="16">
        <f>INDEX('03_25_OMRI -6500'!$B16:$B412,MATCH($A15,'03_25_OMRI -6500'!$A16:$A412,0))/1.98</f>
        <v>601.01010101010104</v>
      </c>
      <c r="L15" s="14"/>
      <c r="M15" s="49">
        <f t="shared" si="25"/>
        <v>601.01010101010104</v>
      </c>
      <c r="N15" s="16">
        <f>INDEX('03_25_OMRI -6500'!$C16:$C412,MATCH($A15,'03_25_OMRI -6500'!$A16:$A412,0))/1.98</f>
        <v>4207.575757575758</v>
      </c>
      <c r="O15" s="14"/>
      <c r="P15" s="69">
        <f t="shared" si="26"/>
        <v>4207.575757575758</v>
      </c>
      <c r="Q15" s="1">
        <v>-5000</v>
      </c>
      <c r="R15" s="14"/>
      <c r="S15" s="1">
        <f t="shared" si="21"/>
        <v>-5000</v>
      </c>
      <c r="T15" s="71">
        <f>INDEX('03_25_OMRI -5000'!$B16:$B405,MATCH($A15,'03_25_OMRI -5000'!$A16:$A405,0))/1.98</f>
        <v>601.01010101010104</v>
      </c>
      <c r="U15" s="14"/>
      <c r="V15" s="49">
        <f t="shared" si="22"/>
        <v>601.01010101010104</v>
      </c>
      <c r="W15" s="71">
        <f>INDEX('03_25_OMRI -5000'!$C16:$C405,MATCH($A15,'03_25_OMRI -5000'!$A16:$A405,0))/1.98</f>
        <v>3506.060606060606</v>
      </c>
      <c r="X15" s="14"/>
      <c r="Y15" s="69">
        <f t="shared" si="27"/>
        <v>3506.060606060606</v>
      </c>
      <c r="Z15" s="1">
        <v>-3500</v>
      </c>
      <c r="AA15" s="14"/>
      <c r="AB15" s="5">
        <f t="shared" si="28"/>
        <v>-3500</v>
      </c>
      <c r="AC15" s="17">
        <f>INDEX('03_25_OMRI -3500'!$B16:$B405,MATCH($A15,'03_25_OMRI -3500'!$A16:$A405,0))/1.98</f>
        <v>601.01010101010104</v>
      </c>
      <c r="AD15" s="14"/>
      <c r="AE15" s="49">
        <f t="shared" si="29"/>
        <v>601.01010101010104</v>
      </c>
      <c r="AF15" s="16">
        <f>INDEX('03_25_OMRI -3500'!$C16:$C405,MATCH($A15,'03_25_OMRI -3500'!$A16:$A405,0))/1.98</f>
        <v>2704.5454545454545</v>
      </c>
      <c r="AG15" s="14"/>
      <c r="AH15" s="69">
        <f t="shared" si="30"/>
        <v>2704.5454545454545</v>
      </c>
      <c r="AI15" s="9">
        <v>-2000</v>
      </c>
      <c r="AJ15" s="14"/>
      <c r="AK15" s="1">
        <f t="shared" si="31"/>
        <v>-2000</v>
      </c>
      <c r="AL15" s="17">
        <f>INDEX('03_25_OMRI-2000'!$B16:$B405,MATCH($A15,'03_25_OMRI-2000'!$A16:$A405,0))/1.98</f>
        <v>601.01010101010104</v>
      </c>
      <c r="AM15" s="14"/>
      <c r="AN15" s="49">
        <f t="shared" si="32"/>
        <v>601.01010101010104</v>
      </c>
      <c r="AO15" s="16">
        <f>INDEX('03_25_OMRI-2000'!$C16:$C405,MATCH($A15,'03_25_OMRI-2000'!$A16:$A405,0))/1.98</f>
        <v>1803.030303030303</v>
      </c>
      <c r="AP15" s="14"/>
      <c r="AQ15" s="69">
        <f t="shared" si="33"/>
        <v>1803.030303030303</v>
      </c>
      <c r="AS15" s="12">
        <f t="shared" si="14"/>
        <v>0.87501312887301763</v>
      </c>
      <c r="AT15" s="12">
        <f t="shared" si="15"/>
        <v>0.85366453516969998</v>
      </c>
      <c r="AU15" s="12">
        <f t="shared" si="17"/>
        <v>0.81818181818181812</v>
      </c>
      <c r="AV15" s="12">
        <f t="shared" si="18"/>
        <v>0.75</v>
      </c>
    </row>
    <row r="16" spans="1:48" ht="14.4" x14ac:dyDescent="0.3">
      <c r="A16" s="6">
        <f t="shared" si="19"/>
        <v>46118</v>
      </c>
      <c r="B16" s="13">
        <f>INDEX('03_25_OMRI-2000'!$E$4:$E$393,MATCH($A16,'03_25_OMRI-2000'!$A$4:$A$393,0))</f>
        <v>11000</v>
      </c>
      <c r="C16" s="14"/>
      <c r="D16" s="1">
        <f t="shared" si="20"/>
        <v>11000</v>
      </c>
      <c r="E16" s="13">
        <f>INDEX('03_25_OMRI-2000'!$D$4:$D$393,MATCH($A16,'03_25_OMRI-2000'!$A$4:$A$393,0))</f>
        <v>2000</v>
      </c>
      <c r="F16" s="14"/>
      <c r="G16" s="1">
        <f t="shared" si="23"/>
        <v>2000</v>
      </c>
      <c r="H16" s="15">
        <f t="shared" si="2"/>
        <v>-6500</v>
      </c>
      <c r="I16" s="14"/>
      <c r="J16" s="1">
        <f t="shared" si="24"/>
        <v>-6500</v>
      </c>
      <c r="K16" s="16">
        <f>INDEX('03_25_OMRI -6500'!$B17:$B413,MATCH($A16,'03_25_OMRI -6500'!$A17:$A413,0))/1.98</f>
        <v>601.01010101010104</v>
      </c>
      <c r="L16" s="14"/>
      <c r="M16" s="49">
        <f t="shared" si="25"/>
        <v>601.01010101010104</v>
      </c>
      <c r="N16" s="16">
        <f>INDEX('03_25_OMRI -6500'!$C17:$C413,MATCH($A16,'03_25_OMRI -6500'!$A17:$A413,0))/1.98</f>
        <v>4207.575757575758</v>
      </c>
      <c r="O16" s="14"/>
      <c r="P16" s="69">
        <f t="shared" si="26"/>
        <v>4207.575757575758</v>
      </c>
      <c r="Q16" s="1">
        <v>-5000</v>
      </c>
      <c r="R16" s="14"/>
      <c r="S16" s="1">
        <f t="shared" si="21"/>
        <v>-5000</v>
      </c>
      <c r="T16" s="71">
        <f>INDEX('03_25_OMRI -5000'!$B17:$B406,MATCH($A16,'03_25_OMRI -5000'!$A17:$A406,0))/1.98</f>
        <v>601.01010101010104</v>
      </c>
      <c r="U16" s="14"/>
      <c r="V16" s="49">
        <f t="shared" si="22"/>
        <v>601.01010101010104</v>
      </c>
      <c r="W16" s="71">
        <f>INDEX('03_25_OMRI -5000'!$C17:$C406,MATCH($A16,'03_25_OMRI -5000'!$A17:$A406,0))/1.98</f>
        <v>3506.060606060606</v>
      </c>
      <c r="X16" s="14"/>
      <c r="Y16" s="69">
        <f t="shared" si="27"/>
        <v>3506.060606060606</v>
      </c>
      <c r="Z16" s="1">
        <v>-3500</v>
      </c>
      <c r="AA16" s="14"/>
      <c r="AB16" s="5">
        <f t="shared" si="28"/>
        <v>-3500</v>
      </c>
      <c r="AC16" s="17">
        <f>INDEX('03_25_OMRI -3500'!$B17:$B406,MATCH($A16,'03_25_OMRI -3500'!$A17:$A406,0))/1.98</f>
        <v>601.01010101010104</v>
      </c>
      <c r="AD16" s="14"/>
      <c r="AE16" s="49">
        <f t="shared" si="29"/>
        <v>601.01010101010104</v>
      </c>
      <c r="AF16" s="16">
        <f>INDEX('03_25_OMRI -3500'!$C17:$C406,MATCH($A16,'03_25_OMRI -3500'!$A17:$A406,0))/1.98</f>
        <v>2704.5454545454545</v>
      </c>
      <c r="AG16" s="14"/>
      <c r="AH16" s="69">
        <f t="shared" si="30"/>
        <v>2704.5454545454545</v>
      </c>
      <c r="AI16" s="9">
        <v>-2000</v>
      </c>
      <c r="AJ16" s="14"/>
      <c r="AK16" s="1">
        <f t="shared" si="31"/>
        <v>-2000</v>
      </c>
      <c r="AL16" s="17">
        <f>INDEX('03_25_OMRI-2000'!$B17:$B406,MATCH($A16,'03_25_OMRI-2000'!$A17:$A406,0))/1.98</f>
        <v>601.01010101010104</v>
      </c>
      <c r="AM16" s="14"/>
      <c r="AN16" s="49">
        <f t="shared" si="32"/>
        <v>601.01010101010104</v>
      </c>
      <c r="AO16" s="16">
        <f>INDEX('03_25_OMRI-2000'!$C17:$C406,MATCH($A16,'03_25_OMRI-2000'!$A17:$A406,0))/1.98</f>
        <v>1803.030303030303</v>
      </c>
      <c r="AP16" s="14"/>
      <c r="AQ16" s="69">
        <f t="shared" si="33"/>
        <v>1803.030303030303</v>
      </c>
      <c r="AS16" s="12">
        <f t="shared" si="14"/>
        <v>0.87501312887301763</v>
      </c>
      <c r="AT16" s="12">
        <f t="shared" si="15"/>
        <v>0.85366453516969998</v>
      </c>
      <c r="AU16" s="12">
        <f t="shared" si="17"/>
        <v>0.81818181818181812</v>
      </c>
      <c r="AV16" s="12">
        <f t="shared" si="18"/>
        <v>0.75</v>
      </c>
    </row>
    <row r="17" spans="1:48" ht="14.4" x14ac:dyDescent="0.3">
      <c r="A17" s="6">
        <f t="shared" si="19"/>
        <v>46119</v>
      </c>
      <c r="B17" s="13">
        <f>INDEX('03_25_OMRI-2000'!$E$4:$E$393,MATCH($A17,'03_25_OMRI-2000'!$A$4:$A$393,0))</f>
        <v>10000</v>
      </c>
      <c r="C17" s="14"/>
      <c r="D17" s="1">
        <f t="shared" si="20"/>
        <v>10000</v>
      </c>
      <c r="E17" s="13">
        <f>INDEX('03_25_OMRI-2000'!$D$4:$D$393,MATCH($A17,'03_25_OMRI-2000'!$A$4:$A$393,0))</f>
        <v>2000</v>
      </c>
      <c r="F17" s="14"/>
      <c r="G17" s="1">
        <f t="shared" si="23"/>
        <v>2000</v>
      </c>
      <c r="H17" s="15">
        <f t="shared" si="2"/>
        <v>-6500</v>
      </c>
      <c r="I17" s="14"/>
      <c r="J17" s="1">
        <f t="shared" si="24"/>
        <v>-6500</v>
      </c>
      <c r="K17" s="16">
        <f>INDEX('03_25_OMRI -6500'!$B18:$B414,MATCH($A17,'03_25_OMRI -6500'!$A18:$A414,0))/1.98</f>
        <v>601.01010101010104</v>
      </c>
      <c r="L17" s="14"/>
      <c r="M17" s="49">
        <f t="shared" si="25"/>
        <v>601.01010101010104</v>
      </c>
      <c r="N17" s="16">
        <f>INDEX('03_25_OMRI -6500'!$C18:$C414,MATCH($A17,'03_25_OMRI -6500'!$A18:$A414,0))/1.98</f>
        <v>4207.575757575758</v>
      </c>
      <c r="O17" s="14"/>
      <c r="P17" s="69">
        <f t="shared" si="26"/>
        <v>4207.575757575758</v>
      </c>
      <c r="Q17" s="1">
        <v>-5000</v>
      </c>
      <c r="R17" s="14"/>
      <c r="S17" s="1">
        <f t="shared" si="21"/>
        <v>-5000</v>
      </c>
      <c r="T17" s="71">
        <f>INDEX('03_25_OMRI -5000'!$B18:$B407,MATCH($A17,'03_25_OMRI -5000'!$A18:$A407,0))/1.98</f>
        <v>601.01010101010104</v>
      </c>
      <c r="U17" s="14"/>
      <c r="V17" s="49">
        <f t="shared" si="22"/>
        <v>601.01010101010104</v>
      </c>
      <c r="W17" s="71">
        <f>INDEX('03_25_OMRI -5000'!$C18:$C407,MATCH($A17,'03_25_OMRI -5000'!$A18:$A407,0))/1.98</f>
        <v>3506.060606060606</v>
      </c>
      <c r="X17" s="14"/>
      <c r="Y17" s="69">
        <f t="shared" si="27"/>
        <v>3506.060606060606</v>
      </c>
      <c r="Z17" s="1">
        <v>-3500</v>
      </c>
      <c r="AA17" s="14"/>
      <c r="AB17" s="5">
        <f t="shared" si="28"/>
        <v>-3500</v>
      </c>
      <c r="AC17" s="17">
        <f>INDEX('03_25_OMRI -3500'!$B18:$B407,MATCH($A17,'03_25_OMRI -3500'!$A18:$A407,0))/1.98</f>
        <v>601.01010101010104</v>
      </c>
      <c r="AD17" s="14"/>
      <c r="AE17" s="49">
        <f t="shared" si="29"/>
        <v>601.01010101010104</v>
      </c>
      <c r="AF17" s="16">
        <f>INDEX('03_25_OMRI -3500'!$C18:$C407,MATCH($A17,'03_25_OMRI -3500'!$A18:$A407,0))/1.98</f>
        <v>2704.5454545454545</v>
      </c>
      <c r="AG17" s="14"/>
      <c r="AH17" s="69">
        <f t="shared" si="30"/>
        <v>2704.5454545454545</v>
      </c>
      <c r="AI17" s="9">
        <v>-2000</v>
      </c>
      <c r="AJ17" s="14"/>
      <c r="AK17" s="1">
        <f t="shared" si="31"/>
        <v>-2000</v>
      </c>
      <c r="AL17" s="17">
        <f>INDEX('03_25_OMRI-2000'!$B18:$B407,MATCH($A17,'03_25_OMRI-2000'!$A18:$A407,0))/1.98</f>
        <v>601.01010101010104</v>
      </c>
      <c r="AM17" s="14"/>
      <c r="AN17" s="49">
        <f t="shared" si="32"/>
        <v>601.01010101010104</v>
      </c>
      <c r="AO17" s="16">
        <f>INDEX('03_25_OMRI-2000'!$C18:$C407,MATCH($A17,'03_25_OMRI-2000'!$A18:$A407,0))/1.98</f>
        <v>1803.030303030303</v>
      </c>
      <c r="AP17" s="14"/>
      <c r="AQ17" s="69">
        <f t="shared" si="33"/>
        <v>1803.030303030303</v>
      </c>
      <c r="AS17" s="12">
        <f t="shared" si="14"/>
        <v>0.87501312887301763</v>
      </c>
      <c r="AT17" s="12">
        <f t="shared" si="15"/>
        <v>0.85366453516969998</v>
      </c>
      <c r="AU17" s="12">
        <f t="shared" si="17"/>
        <v>0.81818181818181812</v>
      </c>
      <c r="AV17" s="12">
        <f t="shared" si="18"/>
        <v>0.75</v>
      </c>
    </row>
    <row r="18" spans="1:48" ht="14.4" x14ac:dyDescent="0.3">
      <c r="A18" s="6">
        <f t="shared" si="19"/>
        <v>46120</v>
      </c>
      <c r="B18" s="13">
        <f>INDEX('03_25_OMRI-2000'!$E$4:$E$393,MATCH($A18,'03_25_OMRI-2000'!$A$4:$A$393,0))</f>
        <v>10000</v>
      </c>
      <c r="C18" s="14"/>
      <c r="D18" s="1">
        <f t="shared" si="20"/>
        <v>10000</v>
      </c>
      <c r="E18" s="13">
        <f>INDEX('03_25_OMRI-2000'!$D$4:$D$393,MATCH($A18,'03_25_OMRI-2000'!$A$4:$A$393,0))</f>
        <v>2000</v>
      </c>
      <c r="F18" s="14"/>
      <c r="G18" s="1">
        <f t="shared" si="23"/>
        <v>2000</v>
      </c>
      <c r="H18" s="15">
        <f t="shared" si="2"/>
        <v>-6500</v>
      </c>
      <c r="I18" s="14"/>
      <c r="J18" s="1">
        <f t="shared" si="24"/>
        <v>-6500</v>
      </c>
      <c r="K18" s="16">
        <f>INDEX('03_25_OMRI -6500'!$B19:$B415,MATCH($A18,'03_25_OMRI -6500'!$A19:$A415,0))/1.98</f>
        <v>601.01010101010104</v>
      </c>
      <c r="L18" s="14"/>
      <c r="M18" s="49">
        <f t="shared" si="25"/>
        <v>601.01010101010104</v>
      </c>
      <c r="N18" s="16">
        <f>INDEX('03_25_OMRI -6500'!$C19:$C415,MATCH($A18,'03_25_OMRI -6500'!$A19:$A415,0))/1.98</f>
        <v>4207.575757575758</v>
      </c>
      <c r="O18" s="14"/>
      <c r="P18" s="69">
        <f t="shared" si="26"/>
        <v>4207.575757575758</v>
      </c>
      <c r="Q18" s="1">
        <v>-5000</v>
      </c>
      <c r="R18" s="14"/>
      <c r="S18" s="1">
        <f t="shared" si="21"/>
        <v>-5000</v>
      </c>
      <c r="T18" s="71">
        <f>INDEX('03_25_OMRI -5000'!$B19:$B408,MATCH($A18,'03_25_OMRI -5000'!$A19:$A408,0))/1.98</f>
        <v>601.01010101010104</v>
      </c>
      <c r="U18" s="14"/>
      <c r="V18" s="49">
        <f t="shared" si="22"/>
        <v>601.01010101010104</v>
      </c>
      <c r="W18" s="71">
        <f>INDEX('03_25_OMRI -5000'!$C19:$C408,MATCH($A18,'03_25_OMRI -5000'!$A19:$A408,0))/1.98</f>
        <v>3506.060606060606</v>
      </c>
      <c r="X18" s="14"/>
      <c r="Y18" s="69">
        <f t="shared" si="27"/>
        <v>3506.060606060606</v>
      </c>
      <c r="Z18" s="1">
        <v>-3500</v>
      </c>
      <c r="AA18" s="14"/>
      <c r="AB18" s="5">
        <f t="shared" si="28"/>
        <v>-3500</v>
      </c>
      <c r="AC18" s="17">
        <f>INDEX('03_25_OMRI -3500'!$B19:$B408,MATCH($A18,'03_25_OMRI -3500'!$A19:$A408,0))/1.98</f>
        <v>601.01010101010104</v>
      </c>
      <c r="AD18" s="14"/>
      <c r="AE18" s="49">
        <f t="shared" si="29"/>
        <v>601.01010101010104</v>
      </c>
      <c r="AF18" s="16">
        <f>INDEX('03_25_OMRI -3500'!$C19:$C408,MATCH($A18,'03_25_OMRI -3500'!$A19:$A408,0))/1.98</f>
        <v>2704.5454545454545</v>
      </c>
      <c r="AG18" s="14"/>
      <c r="AH18" s="69">
        <f t="shared" si="30"/>
        <v>2704.5454545454545</v>
      </c>
      <c r="AI18" s="9">
        <v>-2000</v>
      </c>
      <c r="AJ18" s="14"/>
      <c r="AK18" s="1">
        <f t="shared" si="31"/>
        <v>-2000</v>
      </c>
      <c r="AL18" s="17">
        <f>INDEX('03_25_OMRI-2000'!$B19:$B408,MATCH($A18,'03_25_OMRI-2000'!$A19:$A408,0))/1.98</f>
        <v>601.01010101010104</v>
      </c>
      <c r="AM18" s="14"/>
      <c r="AN18" s="49">
        <f t="shared" si="32"/>
        <v>601.01010101010104</v>
      </c>
      <c r="AO18" s="16">
        <f>INDEX('03_25_OMRI-2000'!$C19:$C408,MATCH($A18,'03_25_OMRI-2000'!$A19:$A408,0))/1.98</f>
        <v>1803.030303030303</v>
      </c>
      <c r="AP18" s="14"/>
      <c r="AQ18" s="69">
        <f t="shared" si="33"/>
        <v>1803.030303030303</v>
      </c>
      <c r="AS18" s="12">
        <f t="shared" si="14"/>
        <v>0.87501312887301763</v>
      </c>
      <c r="AT18" s="12">
        <f t="shared" si="15"/>
        <v>0.85366453516969998</v>
      </c>
      <c r="AU18" s="12">
        <f t="shared" si="17"/>
        <v>0.81818181818181812</v>
      </c>
      <c r="AV18" s="12">
        <f t="shared" si="18"/>
        <v>0.75</v>
      </c>
    </row>
    <row r="19" spans="1:48" ht="14.4" x14ac:dyDescent="0.3">
      <c r="A19" s="6">
        <f t="shared" si="19"/>
        <v>46121</v>
      </c>
      <c r="B19" s="13">
        <f>INDEX('03_25_OMRI-2000'!$E$4:$E$393,MATCH($A19,'03_25_OMRI-2000'!$A$4:$A$393,0))</f>
        <v>10000</v>
      </c>
      <c r="C19" s="14"/>
      <c r="D19" s="1">
        <f t="shared" si="20"/>
        <v>10000</v>
      </c>
      <c r="E19" s="13">
        <f>INDEX('03_25_OMRI-2000'!$D$4:$D$393,MATCH($A19,'03_25_OMRI-2000'!$A$4:$A$393,0))</f>
        <v>2000</v>
      </c>
      <c r="F19" s="14"/>
      <c r="G19" s="1">
        <f t="shared" si="23"/>
        <v>2000</v>
      </c>
      <c r="H19" s="15">
        <f t="shared" si="2"/>
        <v>-6500</v>
      </c>
      <c r="I19" s="14"/>
      <c r="J19" s="1">
        <f t="shared" si="24"/>
        <v>-6500</v>
      </c>
      <c r="K19" s="16">
        <f>INDEX('03_25_OMRI -6500'!$B20:$B416,MATCH($A19,'03_25_OMRI -6500'!$A20:$A416,0))/1.98</f>
        <v>601.01010101010104</v>
      </c>
      <c r="L19" s="14"/>
      <c r="M19" s="49">
        <f t="shared" si="25"/>
        <v>601.01010101010104</v>
      </c>
      <c r="N19" s="16">
        <f>INDEX('03_25_OMRI -6500'!$C20:$C416,MATCH($A19,'03_25_OMRI -6500'!$A20:$A416,0))/1.98</f>
        <v>4207.575757575758</v>
      </c>
      <c r="O19" s="14"/>
      <c r="P19" s="69">
        <f t="shared" si="26"/>
        <v>4207.575757575758</v>
      </c>
      <c r="Q19" s="1">
        <v>-5000</v>
      </c>
      <c r="R19" s="14"/>
      <c r="S19" s="1">
        <f t="shared" si="21"/>
        <v>-5000</v>
      </c>
      <c r="T19" s="71">
        <f>INDEX('03_25_OMRI -5000'!$B20:$B409,MATCH($A19,'03_25_OMRI -5000'!$A20:$A409,0))/1.98</f>
        <v>601.01010101010104</v>
      </c>
      <c r="U19" s="14"/>
      <c r="V19" s="49">
        <f t="shared" si="22"/>
        <v>601.01010101010104</v>
      </c>
      <c r="W19" s="71">
        <f>INDEX('03_25_OMRI -5000'!$C20:$C409,MATCH($A19,'03_25_OMRI -5000'!$A20:$A409,0))/1.98</f>
        <v>3506.060606060606</v>
      </c>
      <c r="X19" s="14"/>
      <c r="Y19" s="69">
        <f t="shared" si="27"/>
        <v>3506.060606060606</v>
      </c>
      <c r="Z19" s="1">
        <v>-3500</v>
      </c>
      <c r="AA19" s="14"/>
      <c r="AB19" s="5">
        <f t="shared" si="28"/>
        <v>-3500</v>
      </c>
      <c r="AC19" s="17">
        <f>INDEX('03_25_OMRI -3500'!$B20:$B409,MATCH($A19,'03_25_OMRI -3500'!$A20:$A409,0))/1.98</f>
        <v>601.01010101010104</v>
      </c>
      <c r="AD19" s="14"/>
      <c r="AE19" s="49">
        <f t="shared" si="29"/>
        <v>601.01010101010104</v>
      </c>
      <c r="AF19" s="16">
        <f>INDEX('03_25_OMRI -3500'!$C20:$C409,MATCH($A19,'03_25_OMRI -3500'!$A20:$A409,0))/1.98</f>
        <v>2704.5454545454545</v>
      </c>
      <c r="AG19" s="14"/>
      <c r="AH19" s="69">
        <f t="shared" si="30"/>
        <v>2704.5454545454545</v>
      </c>
      <c r="AI19" s="9">
        <v>-2000</v>
      </c>
      <c r="AJ19" s="14"/>
      <c r="AK19" s="1">
        <f t="shared" si="31"/>
        <v>-2000</v>
      </c>
      <c r="AL19" s="17">
        <f>INDEX('03_25_OMRI-2000'!$B20:$B409,MATCH($A19,'03_25_OMRI-2000'!$A20:$A409,0))/1.98</f>
        <v>601.01010101010104</v>
      </c>
      <c r="AM19" s="14"/>
      <c r="AN19" s="49">
        <f t="shared" si="32"/>
        <v>601.01010101010104</v>
      </c>
      <c r="AO19" s="16">
        <f>INDEX('03_25_OMRI-2000'!$C20:$C409,MATCH($A19,'03_25_OMRI-2000'!$A20:$A409,0))/1.98</f>
        <v>1803.030303030303</v>
      </c>
      <c r="AP19" s="14"/>
      <c r="AQ19" s="69">
        <f t="shared" si="33"/>
        <v>1803.030303030303</v>
      </c>
      <c r="AS19" s="12">
        <f t="shared" si="14"/>
        <v>0.87501312887301763</v>
      </c>
      <c r="AT19" s="12">
        <f t="shared" si="15"/>
        <v>0.85366453516969998</v>
      </c>
      <c r="AU19" s="12">
        <f t="shared" si="17"/>
        <v>0.81818181818181812</v>
      </c>
      <c r="AV19" s="12">
        <f t="shared" si="18"/>
        <v>0.75</v>
      </c>
    </row>
    <row r="20" spans="1:48" ht="14.4" x14ac:dyDescent="0.3">
      <c r="A20" s="6">
        <f t="shared" si="19"/>
        <v>46122</v>
      </c>
      <c r="B20" s="13">
        <f>INDEX('03_25_OMRI-2000'!$E$4:$E$393,MATCH($A20,'03_25_OMRI-2000'!$A$4:$A$393,0))</f>
        <v>10000</v>
      </c>
      <c r="C20" s="14"/>
      <c r="D20" s="1">
        <f t="shared" si="20"/>
        <v>10000</v>
      </c>
      <c r="E20" s="13">
        <f>INDEX('03_25_OMRI-2000'!$D$4:$D$393,MATCH($A20,'03_25_OMRI-2000'!$A$4:$A$393,0))</f>
        <v>2000</v>
      </c>
      <c r="F20" s="14"/>
      <c r="G20" s="1">
        <f t="shared" si="23"/>
        <v>2000</v>
      </c>
      <c r="H20" s="15">
        <f t="shared" si="2"/>
        <v>-6500</v>
      </c>
      <c r="I20" s="14"/>
      <c r="J20" s="1">
        <f t="shared" si="24"/>
        <v>-6500</v>
      </c>
      <c r="K20" s="16">
        <f>INDEX('03_25_OMRI -6500'!$B21:$B417,MATCH($A20,'03_25_OMRI -6500'!$A21:$A417,0))/1.98</f>
        <v>601.01010101010104</v>
      </c>
      <c r="L20" s="14"/>
      <c r="M20" s="49">
        <f t="shared" si="25"/>
        <v>601.01010101010104</v>
      </c>
      <c r="N20" s="16">
        <f>INDEX('03_25_OMRI -6500'!$C21:$C417,MATCH($A20,'03_25_OMRI -6500'!$A21:$A417,0))/1.98</f>
        <v>4207.575757575758</v>
      </c>
      <c r="O20" s="14"/>
      <c r="P20" s="69">
        <f t="shared" si="26"/>
        <v>4207.575757575758</v>
      </c>
      <c r="Q20" s="1">
        <v>-5000</v>
      </c>
      <c r="R20" s="14"/>
      <c r="S20" s="1">
        <f t="shared" si="21"/>
        <v>-5000</v>
      </c>
      <c r="T20" s="71">
        <f>INDEX('03_25_OMRI -5000'!$B21:$B410,MATCH($A20,'03_25_OMRI -5000'!$A21:$A410,0))/1.98</f>
        <v>601.01010101010104</v>
      </c>
      <c r="U20" s="14"/>
      <c r="V20" s="49">
        <f t="shared" si="22"/>
        <v>601.01010101010104</v>
      </c>
      <c r="W20" s="71">
        <f>INDEX('03_25_OMRI -5000'!$C21:$C410,MATCH($A20,'03_25_OMRI -5000'!$A21:$A410,0))/1.98</f>
        <v>3506.060606060606</v>
      </c>
      <c r="X20" s="14"/>
      <c r="Y20" s="69">
        <f t="shared" si="27"/>
        <v>3506.060606060606</v>
      </c>
      <c r="Z20" s="1">
        <v>-3500</v>
      </c>
      <c r="AA20" s="14"/>
      <c r="AB20" s="5">
        <f t="shared" si="28"/>
        <v>-3500</v>
      </c>
      <c r="AC20" s="17">
        <f>INDEX('03_25_OMRI -3500'!$B21:$B410,MATCH($A20,'03_25_OMRI -3500'!$A21:$A410,0))/1.98</f>
        <v>601.01010101010104</v>
      </c>
      <c r="AD20" s="14"/>
      <c r="AE20" s="49">
        <f t="shared" si="29"/>
        <v>601.01010101010104</v>
      </c>
      <c r="AF20" s="16">
        <f>INDEX('03_25_OMRI -3500'!$C21:$C410,MATCH($A20,'03_25_OMRI -3500'!$A21:$A410,0))/1.98</f>
        <v>2704.5454545454545</v>
      </c>
      <c r="AG20" s="14"/>
      <c r="AH20" s="69">
        <f t="shared" si="30"/>
        <v>2704.5454545454545</v>
      </c>
      <c r="AI20" s="9">
        <v>-2000</v>
      </c>
      <c r="AJ20" s="14"/>
      <c r="AK20" s="1">
        <f t="shared" si="31"/>
        <v>-2000</v>
      </c>
      <c r="AL20" s="17">
        <f>INDEX('03_25_OMRI-2000'!$B21:$B410,MATCH($A20,'03_25_OMRI-2000'!$A21:$A410,0))/1.98</f>
        <v>601.01010101010104</v>
      </c>
      <c r="AM20" s="14"/>
      <c r="AN20" s="49">
        <f t="shared" si="32"/>
        <v>601.01010101010104</v>
      </c>
      <c r="AO20" s="16">
        <f>INDEX('03_25_OMRI-2000'!$C21:$C410,MATCH($A20,'03_25_OMRI-2000'!$A21:$A410,0))/1.98</f>
        <v>1803.030303030303</v>
      </c>
      <c r="AP20" s="14"/>
      <c r="AQ20" s="69">
        <f t="shared" si="33"/>
        <v>1803.030303030303</v>
      </c>
      <c r="AS20" s="12">
        <f t="shared" si="14"/>
        <v>0.87501312887301763</v>
      </c>
      <c r="AT20" s="12">
        <f t="shared" si="15"/>
        <v>0.85366453516969998</v>
      </c>
      <c r="AU20" s="12">
        <f t="shared" si="17"/>
        <v>0.81818181818181812</v>
      </c>
      <c r="AV20" s="12">
        <f t="shared" si="18"/>
        <v>0.75</v>
      </c>
    </row>
    <row r="21" spans="1:48" ht="14.4" x14ac:dyDescent="0.3">
      <c r="A21" s="6">
        <f t="shared" si="19"/>
        <v>46123</v>
      </c>
      <c r="B21" s="13">
        <f>INDEX('03_25_OMRI-2000'!$E$4:$E$393,MATCH($A21,'03_25_OMRI-2000'!$A$4:$A$393,0))</f>
        <v>10000</v>
      </c>
      <c r="C21" s="14"/>
      <c r="D21" s="1">
        <f t="shared" si="20"/>
        <v>10000</v>
      </c>
      <c r="E21" s="13">
        <f>INDEX('03_25_OMRI-2000'!$D$4:$D$393,MATCH($A21,'03_25_OMRI-2000'!$A$4:$A$393,0))</f>
        <v>2000</v>
      </c>
      <c r="F21" s="14"/>
      <c r="G21" s="1">
        <f t="shared" si="23"/>
        <v>2000</v>
      </c>
      <c r="H21" s="15">
        <f t="shared" si="2"/>
        <v>-6500</v>
      </c>
      <c r="I21" s="14"/>
      <c r="J21" s="1">
        <f t="shared" si="24"/>
        <v>-6500</v>
      </c>
      <c r="K21" s="16">
        <f>INDEX('03_25_OMRI -6500'!$B22:$B418,MATCH($A21,'03_25_OMRI -6500'!$A22:$A418,0))/1.98</f>
        <v>601.01010101010104</v>
      </c>
      <c r="L21" s="14"/>
      <c r="M21" s="49">
        <f t="shared" si="25"/>
        <v>601.01010101010104</v>
      </c>
      <c r="N21" s="16">
        <f>INDEX('03_25_OMRI -6500'!$C22:$C418,MATCH($A21,'03_25_OMRI -6500'!$A22:$A418,0))/1.98</f>
        <v>4207.575757575758</v>
      </c>
      <c r="O21" s="14"/>
      <c r="P21" s="69">
        <f t="shared" si="26"/>
        <v>4207.575757575758</v>
      </c>
      <c r="Q21" s="1">
        <v>-5000</v>
      </c>
      <c r="R21" s="14"/>
      <c r="S21" s="1">
        <f t="shared" si="21"/>
        <v>-5000</v>
      </c>
      <c r="T21" s="71">
        <f>INDEX('03_25_OMRI -5000'!$B22:$B411,MATCH($A21,'03_25_OMRI -5000'!$A22:$A411,0))/1.98</f>
        <v>601.01010101010104</v>
      </c>
      <c r="U21" s="14"/>
      <c r="V21" s="49">
        <f t="shared" si="22"/>
        <v>601.01010101010104</v>
      </c>
      <c r="W21" s="71">
        <f>INDEX('03_25_OMRI -5000'!$C22:$C411,MATCH($A21,'03_25_OMRI -5000'!$A22:$A411,0))/1.98</f>
        <v>3506.060606060606</v>
      </c>
      <c r="X21" s="14"/>
      <c r="Y21" s="69">
        <f t="shared" si="27"/>
        <v>3506.060606060606</v>
      </c>
      <c r="Z21" s="1">
        <v>-3500</v>
      </c>
      <c r="AA21" s="14"/>
      <c r="AB21" s="5">
        <f t="shared" si="28"/>
        <v>-3500</v>
      </c>
      <c r="AC21" s="17">
        <f>INDEX('03_25_OMRI -3500'!$B22:$B411,MATCH($A21,'03_25_OMRI -3500'!$A22:$A411,0))/1.98</f>
        <v>601.01010101010104</v>
      </c>
      <c r="AD21" s="14"/>
      <c r="AE21" s="49">
        <f t="shared" si="29"/>
        <v>601.01010101010104</v>
      </c>
      <c r="AF21" s="16">
        <f>INDEX('03_25_OMRI -3500'!$C22:$C411,MATCH($A21,'03_25_OMRI -3500'!$A22:$A411,0))/1.98</f>
        <v>2704.5454545454545</v>
      </c>
      <c r="AG21" s="14"/>
      <c r="AH21" s="69">
        <f t="shared" si="30"/>
        <v>2704.5454545454545</v>
      </c>
      <c r="AI21" s="9">
        <v>-2000</v>
      </c>
      <c r="AJ21" s="14"/>
      <c r="AK21" s="1">
        <f t="shared" si="31"/>
        <v>-2000</v>
      </c>
      <c r="AL21" s="17">
        <f>INDEX('03_25_OMRI-2000'!$B22:$B411,MATCH($A21,'03_25_OMRI-2000'!$A22:$A411,0))/1.98</f>
        <v>601.01010101010104</v>
      </c>
      <c r="AM21" s="14"/>
      <c r="AN21" s="49">
        <f t="shared" si="32"/>
        <v>601.01010101010104</v>
      </c>
      <c r="AO21" s="16">
        <f>INDEX('03_25_OMRI-2000'!$C22:$C411,MATCH($A21,'03_25_OMRI-2000'!$A22:$A411,0))/1.98</f>
        <v>1803.030303030303</v>
      </c>
      <c r="AP21" s="14"/>
      <c r="AQ21" s="69">
        <f t="shared" si="33"/>
        <v>1803.030303030303</v>
      </c>
      <c r="AS21" s="12">
        <f t="shared" si="14"/>
        <v>0.87501312887301763</v>
      </c>
      <c r="AT21" s="12">
        <f t="shared" si="15"/>
        <v>0.85366453516969998</v>
      </c>
      <c r="AU21" s="12">
        <f t="shared" si="17"/>
        <v>0.81818181818181812</v>
      </c>
      <c r="AV21" s="12">
        <f t="shared" si="18"/>
        <v>0.75</v>
      </c>
    </row>
    <row r="22" spans="1:48" ht="14.4" x14ac:dyDescent="0.3">
      <c r="A22" s="6">
        <f t="shared" si="19"/>
        <v>46124</v>
      </c>
      <c r="B22" s="13">
        <f>INDEX('03_25_OMRI-2000'!$E$4:$E$393,MATCH($A22,'03_25_OMRI-2000'!$A$4:$A$393,0))</f>
        <v>10000</v>
      </c>
      <c r="C22" s="14"/>
      <c r="D22" s="1">
        <f t="shared" si="20"/>
        <v>10000</v>
      </c>
      <c r="E22" s="13">
        <f>INDEX('03_25_OMRI-2000'!$D$4:$D$393,MATCH($A22,'03_25_OMRI-2000'!$A$4:$A$393,0))</f>
        <v>2000</v>
      </c>
      <c r="F22" s="14"/>
      <c r="G22" s="1">
        <f t="shared" si="23"/>
        <v>2000</v>
      </c>
      <c r="H22" s="15">
        <f t="shared" si="2"/>
        <v>-6500</v>
      </c>
      <c r="I22" s="14"/>
      <c r="J22" s="1">
        <f t="shared" si="24"/>
        <v>-6500</v>
      </c>
      <c r="K22" s="16">
        <f>INDEX('03_25_OMRI -6500'!$B23:$B419,MATCH($A22,'03_25_OMRI -6500'!$A23:$A419,0))/1.98</f>
        <v>601.01010101010104</v>
      </c>
      <c r="L22" s="14"/>
      <c r="M22" s="49">
        <f t="shared" si="25"/>
        <v>601.01010101010104</v>
      </c>
      <c r="N22" s="16">
        <f>INDEX('03_25_OMRI -6500'!$C23:$C419,MATCH($A22,'03_25_OMRI -6500'!$A23:$A419,0))/1.98</f>
        <v>4207.575757575758</v>
      </c>
      <c r="O22" s="14"/>
      <c r="P22" s="69">
        <f t="shared" si="26"/>
        <v>4207.575757575758</v>
      </c>
      <c r="Q22" s="1">
        <v>-5000</v>
      </c>
      <c r="R22" s="14"/>
      <c r="S22" s="1">
        <f t="shared" si="21"/>
        <v>-5000</v>
      </c>
      <c r="T22" s="71">
        <f>INDEX('03_25_OMRI -5000'!$B23:$B412,MATCH($A22,'03_25_OMRI -5000'!$A23:$A412,0))/1.98</f>
        <v>601.01010101010104</v>
      </c>
      <c r="U22" s="14"/>
      <c r="V22" s="49">
        <f t="shared" si="22"/>
        <v>601.01010101010104</v>
      </c>
      <c r="W22" s="71">
        <f>INDEX('03_25_OMRI -5000'!$C23:$C412,MATCH($A22,'03_25_OMRI -5000'!$A23:$A412,0))/1.98</f>
        <v>3506.060606060606</v>
      </c>
      <c r="X22" s="14"/>
      <c r="Y22" s="69">
        <f t="shared" si="27"/>
        <v>3506.060606060606</v>
      </c>
      <c r="Z22" s="1">
        <v>-3500</v>
      </c>
      <c r="AA22" s="14"/>
      <c r="AB22" s="5">
        <f t="shared" si="28"/>
        <v>-3500</v>
      </c>
      <c r="AC22" s="17">
        <f>INDEX('03_25_OMRI -3500'!$B23:$B412,MATCH($A22,'03_25_OMRI -3500'!$A23:$A412,0))/1.98</f>
        <v>601.01010101010104</v>
      </c>
      <c r="AD22" s="14"/>
      <c r="AE22" s="49">
        <f t="shared" si="29"/>
        <v>601.01010101010104</v>
      </c>
      <c r="AF22" s="16">
        <f>INDEX('03_25_OMRI -3500'!$C23:$C412,MATCH($A22,'03_25_OMRI -3500'!$A23:$A412,0))/1.98</f>
        <v>2704.5454545454545</v>
      </c>
      <c r="AG22" s="14"/>
      <c r="AH22" s="69">
        <f t="shared" si="30"/>
        <v>2704.5454545454545</v>
      </c>
      <c r="AI22" s="9">
        <v>-2000</v>
      </c>
      <c r="AJ22" s="14"/>
      <c r="AK22" s="1">
        <f t="shared" si="31"/>
        <v>-2000</v>
      </c>
      <c r="AL22" s="17">
        <f>INDEX('03_25_OMRI-2000'!$B23:$B412,MATCH($A22,'03_25_OMRI-2000'!$A23:$A412,0))/1.98</f>
        <v>601.01010101010104</v>
      </c>
      <c r="AM22" s="14"/>
      <c r="AN22" s="49">
        <f t="shared" si="32"/>
        <v>601.01010101010104</v>
      </c>
      <c r="AO22" s="16">
        <f>INDEX('03_25_OMRI-2000'!$C23:$C412,MATCH($A22,'03_25_OMRI-2000'!$A23:$A412,0))/1.98</f>
        <v>1803.030303030303</v>
      </c>
      <c r="AP22" s="14"/>
      <c r="AQ22" s="69">
        <f t="shared" si="33"/>
        <v>1803.030303030303</v>
      </c>
      <c r="AS22" s="12">
        <f t="shared" si="14"/>
        <v>0.87501312887301763</v>
      </c>
      <c r="AT22" s="12">
        <f t="shared" si="15"/>
        <v>0.85366453516969998</v>
      </c>
      <c r="AU22" s="12">
        <f t="shared" si="17"/>
        <v>0.81818181818181812</v>
      </c>
      <c r="AV22" s="12">
        <f t="shared" si="18"/>
        <v>0.75</v>
      </c>
    </row>
    <row r="23" spans="1:48" ht="14.4" x14ac:dyDescent="0.3">
      <c r="A23" s="6">
        <f t="shared" si="19"/>
        <v>46125</v>
      </c>
      <c r="B23" s="13">
        <f>INDEX('03_25_OMRI-2000'!$E$4:$E$393,MATCH($A23,'03_25_OMRI-2000'!$A$4:$A$393,0))</f>
        <v>10000</v>
      </c>
      <c r="C23" s="14"/>
      <c r="D23" s="1">
        <f t="shared" si="20"/>
        <v>10000</v>
      </c>
      <c r="E23" s="13">
        <f>INDEX('03_25_OMRI-2000'!$D$4:$D$393,MATCH($A23,'03_25_OMRI-2000'!$A$4:$A$393,0))</f>
        <v>2000</v>
      </c>
      <c r="F23" s="14"/>
      <c r="G23" s="1">
        <f t="shared" si="23"/>
        <v>2000</v>
      </c>
      <c r="H23" s="15">
        <f t="shared" si="2"/>
        <v>-6500</v>
      </c>
      <c r="I23" s="14"/>
      <c r="J23" s="1">
        <f t="shared" si="24"/>
        <v>-6500</v>
      </c>
      <c r="K23" s="16">
        <f>INDEX('03_25_OMRI -6500'!$B24:$B420,MATCH($A23,'03_25_OMRI -6500'!$A24:$A420,0))/1.98</f>
        <v>601.01010101010104</v>
      </c>
      <c r="L23" s="14"/>
      <c r="M23" s="49">
        <f t="shared" si="25"/>
        <v>601.01010101010104</v>
      </c>
      <c r="N23" s="16">
        <f>INDEX('03_25_OMRI -6500'!$C24:$C420,MATCH($A23,'03_25_OMRI -6500'!$A24:$A420,0))/1.98</f>
        <v>4207.575757575758</v>
      </c>
      <c r="O23" s="14"/>
      <c r="P23" s="69">
        <f t="shared" si="26"/>
        <v>4207.575757575758</v>
      </c>
      <c r="Q23" s="1">
        <v>-5000</v>
      </c>
      <c r="R23" s="14"/>
      <c r="S23" s="1">
        <f t="shared" si="21"/>
        <v>-5000</v>
      </c>
      <c r="T23" s="71">
        <f>INDEX('03_25_OMRI -5000'!$B24:$B413,MATCH($A23,'03_25_OMRI -5000'!$A24:$A413,0))/1.98</f>
        <v>601.01010101010104</v>
      </c>
      <c r="U23" s="14"/>
      <c r="V23" s="49">
        <f t="shared" si="22"/>
        <v>601.01010101010104</v>
      </c>
      <c r="W23" s="71">
        <f>INDEX('03_25_OMRI -5000'!$C24:$C413,MATCH($A23,'03_25_OMRI -5000'!$A24:$A413,0))/1.98</f>
        <v>3506.060606060606</v>
      </c>
      <c r="X23" s="14"/>
      <c r="Y23" s="69">
        <f t="shared" si="27"/>
        <v>3506.060606060606</v>
      </c>
      <c r="Z23" s="1">
        <v>-3500</v>
      </c>
      <c r="AA23" s="14"/>
      <c r="AB23" s="5">
        <f t="shared" si="28"/>
        <v>-3500</v>
      </c>
      <c r="AC23" s="17">
        <f>INDEX('03_25_OMRI -3500'!$B24:$B413,MATCH($A23,'03_25_OMRI -3500'!$A24:$A413,0))/1.98</f>
        <v>601.01010101010104</v>
      </c>
      <c r="AD23" s="14"/>
      <c r="AE23" s="49">
        <f t="shared" si="29"/>
        <v>601.01010101010104</v>
      </c>
      <c r="AF23" s="16">
        <f>INDEX('03_25_OMRI -3500'!$C24:$C413,MATCH($A23,'03_25_OMRI -3500'!$A24:$A413,0))/1.98</f>
        <v>2704.5454545454545</v>
      </c>
      <c r="AG23" s="14"/>
      <c r="AH23" s="69">
        <f t="shared" si="30"/>
        <v>2704.5454545454545</v>
      </c>
      <c r="AI23" s="9">
        <v>-2000</v>
      </c>
      <c r="AJ23" s="14"/>
      <c r="AK23" s="1">
        <f t="shared" si="31"/>
        <v>-2000</v>
      </c>
      <c r="AL23" s="17">
        <f>INDEX('03_25_OMRI-2000'!$B24:$B413,MATCH($A23,'03_25_OMRI-2000'!$A24:$A413,0))/1.98</f>
        <v>601.01010101010104</v>
      </c>
      <c r="AM23" s="14"/>
      <c r="AN23" s="49">
        <f t="shared" si="32"/>
        <v>601.01010101010104</v>
      </c>
      <c r="AO23" s="16">
        <f>INDEX('03_25_OMRI-2000'!$C24:$C413,MATCH($A23,'03_25_OMRI-2000'!$A24:$A413,0))/1.98</f>
        <v>1803.030303030303</v>
      </c>
      <c r="AP23" s="14"/>
      <c r="AQ23" s="69">
        <f t="shared" si="33"/>
        <v>1803.030303030303</v>
      </c>
      <c r="AS23" s="12">
        <f t="shared" si="14"/>
        <v>0.87501312887301763</v>
      </c>
      <c r="AT23" s="12">
        <f t="shared" si="15"/>
        <v>0.85366453516969998</v>
      </c>
      <c r="AU23" s="12">
        <f t="shared" si="17"/>
        <v>0.81818181818181812</v>
      </c>
      <c r="AV23" s="12">
        <f t="shared" si="18"/>
        <v>0.75</v>
      </c>
    </row>
    <row r="24" spans="1:48" ht="15" thickBot="1" x14ac:dyDescent="0.35">
      <c r="A24" s="6">
        <f t="shared" si="19"/>
        <v>46126</v>
      </c>
      <c r="B24" s="13">
        <f>INDEX('03_25_OMRI-2000'!$E$4:$E$393,MATCH($A24,'03_25_OMRI-2000'!$A$4:$A$393,0))</f>
        <v>10000</v>
      </c>
      <c r="C24" s="14"/>
      <c r="D24" s="1">
        <f t="shared" si="20"/>
        <v>10000</v>
      </c>
      <c r="E24" s="13">
        <f>INDEX('03_25_OMRI-2000'!$D$4:$D$393,MATCH($A24,'03_25_OMRI-2000'!$A$4:$A$393,0))</f>
        <v>2000</v>
      </c>
      <c r="F24" s="14"/>
      <c r="G24" s="1">
        <f t="shared" si="23"/>
        <v>2000</v>
      </c>
      <c r="H24" s="15">
        <f t="shared" si="2"/>
        <v>-6500</v>
      </c>
      <c r="I24" s="18"/>
      <c r="J24" s="19">
        <f t="shared" si="24"/>
        <v>-6500</v>
      </c>
      <c r="K24" s="16">
        <f>INDEX('03_25_OMRI -6500'!$B25:$B421,MATCH($A24,'03_25_OMRI -6500'!$A25:$A421,0))/1.98</f>
        <v>601.01010101010104</v>
      </c>
      <c r="L24" s="18"/>
      <c r="M24" s="68">
        <f t="shared" si="25"/>
        <v>601.01010101010104</v>
      </c>
      <c r="N24" s="16">
        <f>INDEX('03_25_OMRI -6500'!$C25:$C421,MATCH($A24,'03_25_OMRI -6500'!$A25:$A421,0))/1.98</f>
        <v>4207.575757575758</v>
      </c>
      <c r="O24" s="18"/>
      <c r="P24" s="70">
        <f t="shared" si="26"/>
        <v>4207.575757575758</v>
      </c>
      <c r="Q24" s="1">
        <v>-5000</v>
      </c>
      <c r="R24" s="18"/>
      <c r="S24" s="19">
        <f t="shared" si="21"/>
        <v>-5000</v>
      </c>
      <c r="T24" s="72">
        <f>INDEX('03_25_OMRI -5000'!$B25:$B414,MATCH($A24,'03_25_OMRI -5000'!$A25:$A414,0))/1.98</f>
        <v>601.01010101010104</v>
      </c>
      <c r="U24" s="18"/>
      <c r="V24" s="68">
        <f t="shared" si="22"/>
        <v>601.01010101010104</v>
      </c>
      <c r="W24" s="72">
        <f>INDEX('03_25_OMRI -5000'!$C25:$C414,MATCH($A24,'03_25_OMRI -5000'!$A25:$A414,0))/1.98</f>
        <v>3506.060606060606</v>
      </c>
      <c r="X24" s="18"/>
      <c r="Y24" s="70">
        <f t="shared" si="27"/>
        <v>3506.060606060606</v>
      </c>
      <c r="Z24" s="1">
        <v>-3500</v>
      </c>
      <c r="AA24" s="18"/>
      <c r="AB24" s="20">
        <f t="shared" si="28"/>
        <v>-3500</v>
      </c>
      <c r="AC24" s="21">
        <f>INDEX('03_25_OMRI -3500'!$B25:$B414,MATCH($A24,'03_25_OMRI -3500'!$A25:$A414,0))/1.98</f>
        <v>601.01010101010104</v>
      </c>
      <c r="AD24" s="18"/>
      <c r="AE24" s="68">
        <f t="shared" si="29"/>
        <v>601.01010101010104</v>
      </c>
      <c r="AF24" s="16">
        <f>INDEX('03_25_OMRI -3500'!$C25:$C414,MATCH($A24,'03_25_OMRI -3500'!$A25:$A414,0))/1.98</f>
        <v>2704.5454545454545</v>
      </c>
      <c r="AG24" s="18"/>
      <c r="AH24" s="70">
        <f t="shared" si="30"/>
        <v>2704.5454545454545</v>
      </c>
      <c r="AI24" s="9">
        <v>-2000</v>
      </c>
      <c r="AJ24" s="18"/>
      <c r="AK24" s="19">
        <f t="shared" si="31"/>
        <v>-2000</v>
      </c>
      <c r="AL24" s="21">
        <f>INDEX('03_25_OMRI-2000'!$B25:$B414,MATCH($A24,'03_25_OMRI-2000'!$A25:$A414,0))/1.98</f>
        <v>601.01010101010104</v>
      </c>
      <c r="AM24" s="18"/>
      <c r="AN24" s="68">
        <f t="shared" si="32"/>
        <v>601.01010101010104</v>
      </c>
      <c r="AO24" s="73">
        <f>INDEX('03_25_OMRI-2000'!$C25:$C414,MATCH($A24,'03_25_OMRI-2000'!$A25:$A414,0))/1.98</f>
        <v>1803.030303030303</v>
      </c>
      <c r="AP24" s="18"/>
      <c r="AQ24" s="70">
        <f t="shared" si="33"/>
        <v>1803.030303030303</v>
      </c>
      <c r="AS24" s="12">
        <f t="shared" si="14"/>
        <v>0.87501312887301763</v>
      </c>
      <c r="AT24" s="12">
        <f t="shared" si="15"/>
        <v>0.85366453516969998</v>
      </c>
      <c r="AU24" s="12">
        <f t="shared" si="17"/>
        <v>0.81818181818181812</v>
      </c>
      <c r="AV24" s="12">
        <f t="shared" si="18"/>
        <v>0.75</v>
      </c>
    </row>
    <row r="25" spans="1:48" ht="14.4" x14ac:dyDescent="0.3">
      <c r="K25" s="1">
        <f>AVERAGE(K3:K24)</f>
        <v>1730.2571166207529</v>
      </c>
      <c r="N25" s="1">
        <f>AVERAGE(N3:N24)</f>
        <v>4111.0192837465574</v>
      </c>
      <c r="T25" s="1">
        <f>AVERAGE(T3:T24)</f>
        <v>1370.546372819101</v>
      </c>
      <c r="W25" s="1">
        <f>AVERAGE(W3:W24)</f>
        <v>3505.1652892561992</v>
      </c>
      <c r="AC25" s="1">
        <f>AVERAGE(AC3:AC24)</f>
        <v>1024.4949494949503</v>
      </c>
      <c r="AF25" s="1">
        <f>AVERAGE(AF3:AF24)</f>
        <v>2812.9476584022045</v>
      </c>
      <c r="AL25" s="1">
        <f>AVERAGE(AL3:AL24)</f>
        <v>774.03581267217623</v>
      </c>
      <c r="AO25" s="1">
        <f>AVERAGE(AO3:AO24)</f>
        <v>2034.3663911845738</v>
      </c>
      <c r="AS25" s="12"/>
    </row>
    <row r="27" spans="1:48" x14ac:dyDescent="0.25">
      <c r="E27" s="2" t="s">
        <v>8</v>
      </c>
    </row>
    <row r="28" spans="1:48" ht="12.6" customHeight="1" x14ac:dyDescent="0.25">
      <c r="S28" s="81"/>
      <c r="T28" s="81"/>
      <c r="U28" s="81"/>
      <c r="V28" s="81"/>
      <c r="W28" s="81"/>
      <c r="X28" s="81"/>
      <c r="Y28" s="81"/>
      <c r="Z28" s="81"/>
    </row>
    <row r="29" spans="1:48" x14ac:dyDescent="0.25">
      <c r="S29" s="35"/>
      <c r="T29" s="35"/>
      <c r="U29" s="35"/>
      <c r="V29" s="35"/>
      <c r="W29" s="35"/>
      <c r="X29" s="35"/>
    </row>
    <row r="30" spans="1:48" x14ac:dyDescent="0.25">
      <c r="S30" s="36"/>
      <c r="T30" s="37"/>
      <c r="U30" s="36"/>
      <c r="V30" s="37"/>
      <c r="W30" s="37"/>
      <c r="X30" s="37"/>
    </row>
    <row r="31" spans="1:48" ht="14.4" x14ac:dyDescent="0.3">
      <c r="S31" s="38"/>
      <c r="T31" s="38"/>
      <c r="U31" s="38"/>
      <c r="V31" s="38"/>
      <c r="W31" s="38"/>
      <c r="X31" s="38"/>
    </row>
    <row r="33" spans="18:30" ht="13.8" thickBot="1" x14ac:dyDescent="0.3">
      <c r="Z33" s="4" t="s">
        <v>42</v>
      </c>
    </row>
    <row r="34" spans="18:30" ht="13.8" thickBot="1" x14ac:dyDescent="0.3">
      <c r="S34" s="22"/>
      <c r="T34" s="42" t="s">
        <v>9</v>
      </c>
      <c r="U34" s="43"/>
      <c r="V34" s="42" t="s">
        <v>10</v>
      </c>
      <c r="W34" s="43"/>
      <c r="X34" s="43"/>
      <c r="Z34" s="35"/>
      <c r="AA34" s="35"/>
      <c r="AB34" s="39" t="s">
        <v>9</v>
      </c>
      <c r="AC34" s="1" t="s">
        <v>41</v>
      </c>
      <c r="AD34" s="40" t="s">
        <v>10</v>
      </c>
    </row>
    <row r="35" spans="18:30" x14ac:dyDescent="0.25">
      <c r="R35" s="1" t="s">
        <v>16</v>
      </c>
      <c r="S35" s="22" t="str">
        <f>_xlfn.CONCAT(R35," (",TEXT(A3,"mm/dd/yyyy")," - ",TEXT(A9,"mm/dd/yyyy"),")")</f>
        <v>Week 1 (03/24/2026 - 03/30/2026)</v>
      </c>
      <c r="T35" s="44">
        <f>AVERAGE(B3:B9)</f>
        <v>14894.857142857143</v>
      </c>
      <c r="U35" s="45" t="str">
        <f>IF(T35&lt;=$AB$35,$AC$35,IF(T35&gt;=$AB$37,$AC$37,$AC$36))</f>
        <v>med</v>
      </c>
      <c r="V35" s="44">
        <f>AVERAGE(E3:E9)</f>
        <v>2162.2857142857142</v>
      </c>
      <c r="W35" s="45" t="str">
        <f>IF(V35&lt;=$AD$35,$AC$35,IF(V35&gt;=$AD$37,$AC$37,$AC$36))</f>
        <v>med</v>
      </c>
      <c r="X35" s="43" t="str">
        <f>_xlfn.CONCAT(U35,W35)</f>
        <v>medmed</v>
      </c>
      <c r="Z35" s="37"/>
      <c r="AA35" s="37" t="s">
        <v>39</v>
      </c>
      <c r="AB35" s="1">
        <v>13145</v>
      </c>
      <c r="AC35" s="1" t="s">
        <v>38</v>
      </c>
      <c r="AD35" s="1">
        <v>1983</v>
      </c>
    </row>
    <row r="36" spans="18:30" ht="14.4" x14ac:dyDescent="0.3">
      <c r="R36" s="1" t="s">
        <v>17</v>
      </c>
      <c r="S36" s="22" t="str">
        <f>_xlfn.CONCAT(R36," (",TEXT(A10,"mm/dd/yyyy")," - ",TEXT(A16,"mm/dd/yyyy"),")")</f>
        <v>Week 2 (03/31/2026 - 04/06/2026)</v>
      </c>
      <c r="T36" s="44">
        <f>AVERAGE(B10:B16)</f>
        <v>12602.142857142857</v>
      </c>
      <c r="U36" s="45" t="str">
        <f>IF(T36&lt;=$AB$35,$AC$35,IF(T36&gt;=$AB$37,$AC$37,$AC$36))</f>
        <v>lo</v>
      </c>
      <c r="V36" s="44">
        <f>AVERAGE(E10:E16)</f>
        <v>1984.8571428571429</v>
      </c>
      <c r="W36" s="45" t="str">
        <f>IF(V36&lt;=$AD$35,$AC$35,IF(V36&gt;=$AD$37,$AC$37,$AC$36))</f>
        <v>med</v>
      </c>
      <c r="X36" s="43" t="str">
        <f>_xlfn.CONCAT(U36,W36)</f>
        <v>lomed</v>
      </c>
      <c r="Z36" s="38"/>
      <c r="AA36" s="38"/>
      <c r="AB36" s="1">
        <v>24725</v>
      </c>
      <c r="AC36" s="1" t="s">
        <v>11</v>
      </c>
      <c r="AD36" s="1">
        <v>4096</v>
      </c>
    </row>
    <row r="37" spans="18:30" x14ac:dyDescent="0.25">
      <c r="R37" s="1" t="s">
        <v>18</v>
      </c>
      <c r="S37" s="22" t="str">
        <f>_xlfn.CONCAT(R37," (",TEXT(A17,"mm/dd/yyyy")," - ",TEXT(A23,"mm/dd/yyyy"),")")</f>
        <v>Week 3 (04/07/2026 - 04/13/2026)</v>
      </c>
      <c r="T37" s="44">
        <f>AVERAGE(B18:B24)</f>
        <v>10000</v>
      </c>
      <c r="U37" s="45" t="str">
        <f>IF(T37&lt;=$AB$35,$AC$35,IF(T37&gt;=$AB$37,$AC$37,$AC$36))</f>
        <v>lo</v>
      </c>
      <c r="V37" s="44">
        <f>AVERAGE(E18:E24)</f>
        <v>2000</v>
      </c>
      <c r="W37" s="45" t="str">
        <f>IF(V37&lt;=$AD$35,$AC$35,IF(V37&gt;=$AD$37,$AC$37,$AC$36))</f>
        <v>med</v>
      </c>
      <c r="X37" s="43" t="str">
        <f>_xlfn.CONCAT(U37,W37)</f>
        <v>lomed</v>
      </c>
      <c r="AA37" s="41" t="s">
        <v>40</v>
      </c>
      <c r="AB37" s="1">
        <v>24726</v>
      </c>
      <c r="AC37" s="1" t="s">
        <v>12</v>
      </c>
      <c r="AD37" s="1">
        <v>4097</v>
      </c>
    </row>
    <row r="40" spans="18:30" ht="13.8" thickBot="1" x14ac:dyDescent="0.3"/>
    <row r="41" spans="18:30" ht="36.6" thickBot="1" x14ac:dyDescent="0.3">
      <c r="S41" s="23"/>
      <c r="T41" s="24" t="s">
        <v>13</v>
      </c>
      <c r="U41" s="25" t="s">
        <v>56</v>
      </c>
      <c r="V41" s="26" t="s">
        <v>57</v>
      </c>
      <c r="W41" s="25" t="s">
        <v>58</v>
      </c>
      <c r="X41" s="25" t="s">
        <v>14</v>
      </c>
      <c r="Y41" s="25" t="s">
        <v>15</v>
      </c>
      <c r="Z41" s="27"/>
    </row>
    <row r="42" spans="18:30" ht="13.8" thickBot="1" x14ac:dyDescent="0.3">
      <c r="S42" s="75" t="s">
        <v>16</v>
      </c>
      <c r="T42" s="28">
        <f>H3</f>
        <v>-6500</v>
      </c>
      <c r="U42" s="29">
        <f>AVERAGE(N3:N9)</f>
        <v>3904.1125541125543</v>
      </c>
      <c r="V42" s="29">
        <f>AVERAGE(K3:K9)</f>
        <v>3749.3506493506502</v>
      </c>
      <c r="W42" s="29">
        <f>V42+U42</f>
        <v>7653.463203463205</v>
      </c>
      <c r="X42" s="30">
        <f>U42/(U42+V42)</f>
        <v>0.51011058005034071</v>
      </c>
      <c r="Y42" s="31">
        <f>V42/(V42+U42)</f>
        <v>0.48988941994965923</v>
      </c>
      <c r="Z42" s="32"/>
    </row>
    <row r="43" spans="18:30" ht="13.8" thickBot="1" x14ac:dyDescent="0.3">
      <c r="S43" s="76"/>
      <c r="T43" s="28">
        <v>-5000</v>
      </c>
      <c r="U43" s="29">
        <f>AVERAGE(W3:W9)</f>
        <v>3503.2467532467531</v>
      </c>
      <c r="V43" s="29">
        <f>AVERAGE(T3:T9)</f>
        <v>2747.6190476190473</v>
      </c>
      <c r="W43" s="29">
        <f t="shared" ref="W43:W53" si="34">V43+U43</f>
        <v>6250.8658008658003</v>
      </c>
      <c r="X43" s="30">
        <f t="shared" ref="X43:X53" si="35">U43/(U43+V43)</f>
        <v>0.56044184355413973</v>
      </c>
      <c r="Y43" s="31">
        <f t="shared" ref="Y43:Y53" si="36">V43/(V43+U43)</f>
        <v>0.43955815644586027</v>
      </c>
      <c r="Z43" s="32"/>
    </row>
    <row r="44" spans="18:30" ht="13.8" thickBot="1" x14ac:dyDescent="0.3">
      <c r="S44" s="76"/>
      <c r="T44" s="28">
        <v>-3250</v>
      </c>
      <c r="U44" s="29">
        <f>AVERAGE(AF3:AF9)</f>
        <v>3045.2380952380954</v>
      </c>
      <c r="V44" s="29">
        <f>AVERAGE(AC3:AC9)</f>
        <v>1788.816738816739</v>
      </c>
      <c r="W44" s="29">
        <f t="shared" si="34"/>
        <v>4834.0548340548339</v>
      </c>
      <c r="X44" s="30">
        <f t="shared" si="35"/>
        <v>0.6299552238805971</v>
      </c>
      <c r="Y44" s="31">
        <f t="shared" si="36"/>
        <v>0.37004477611940301</v>
      </c>
      <c r="Z44" s="32"/>
    </row>
    <row r="45" spans="18:30" ht="13.8" thickBot="1" x14ac:dyDescent="0.3">
      <c r="S45" s="77"/>
      <c r="T45" s="28">
        <v>-2000</v>
      </c>
      <c r="U45" s="29">
        <f>AVERAGE(AO3:AO9)</f>
        <v>2530.0865800865804</v>
      </c>
      <c r="V45" s="29">
        <f>AVERAGE(AL3:AL9)</f>
        <v>1101.8759018759017</v>
      </c>
      <c r="W45" s="29">
        <f t="shared" si="34"/>
        <v>3631.9624819624823</v>
      </c>
      <c r="X45" s="30">
        <f t="shared" si="35"/>
        <v>0.69661693716601447</v>
      </c>
      <c r="Y45" s="31">
        <f t="shared" si="36"/>
        <v>0.30338306283398553</v>
      </c>
      <c r="Z45" s="32"/>
    </row>
    <row r="46" spans="18:30" ht="13.8" thickBot="1" x14ac:dyDescent="0.3">
      <c r="S46" s="75" t="s">
        <v>17</v>
      </c>
      <c r="T46" s="28">
        <f>T42</f>
        <v>-6500</v>
      </c>
      <c r="U46" s="29">
        <f>AVERAGE(N10:N16)</f>
        <v>4207.5757575757589</v>
      </c>
      <c r="V46" s="29">
        <f>AVERAGE(K10:K16)</f>
        <v>1001.7316017316016</v>
      </c>
      <c r="W46" s="29">
        <f t="shared" si="34"/>
        <v>5209.3073593073605</v>
      </c>
      <c r="X46" s="30">
        <f t="shared" si="35"/>
        <v>0.80770349441143485</v>
      </c>
      <c r="Y46" s="31">
        <f t="shared" si="36"/>
        <v>0.19229650558856518</v>
      </c>
      <c r="Z46" s="32"/>
    </row>
    <row r="47" spans="18:30" ht="13.8" thickBot="1" x14ac:dyDescent="0.3">
      <c r="S47" s="76"/>
      <c r="T47" s="28">
        <v>-5000</v>
      </c>
      <c r="U47" s="29">
        <f>AVERAGE(W10:W16)</f>
        <v>3506.0606060606069</v>
      </c>
      <c r="V47" s="29">
        <f>AVERAGE(T10:T16)</f>
        <v>872.94372294372283</v>
      </c>
      <c r="W47" s="29">
        <f t="shared" si="34"/>
        <v>4379.0043290043295</v>
      </c>
      <c r="X47" s="30">
        <f t="shared" si="35"/>
        <v>0.80065246404033419</v>
      </c>
      <c r="Y47" s="31">
        <f t="shared" si="36"/>
        <v>0.19934753595966581</v>
      </c>
      <c r="Z47" s="32"/>
    </row>
    <row r="48" spans="18:30" ht="13.8" thickBot="1" x14ac:dyDescent="0.3">
      <c r="S48" s="76"/>
      <c r="T48" s="28">
        <v>-3250</v>
      </c>
      <c r="U48" s="29">
        <f>AVERAGE(AF10:AF16)</f>
        <v>2704.5454545454545</v>
      </c>
      <c r="V48" s="29">
        <f>AVERAGE(AC10:AC16)</f>
        <v>744.15584415584419</v>
      </c>
      <c r="W48" s="29">
        <f t="shared" si="34"/>
        <v>3448.7012987012986</v>
      </c>
      <c r="X48" s="30">
        <f t="shared" si="35"/>
        <v>0.784221427226511</v>
      </c>
      <c r="Y48" s="31">
        <f t="shared" si="36"/>
        <v>0.215778572773489</v>
      </c>
      <c r="Z48" s="32"/>
    </row>
    <row r="49" spans="19:26" ht="13.8" thickBot="1" x14ac:dyDescent="0.3">
      <c r="S49" s="77"/>
      <c r="T49" s="28">
        <v>-2000</v>
      </c>
      <c r="U49" s="29">
        <f>AVERAGE(AO10:AO16)</f>
        <v>1803.0303030303035</v>
      </c>
      <c r="V49" s="29">
        <f>AVERAGE(AL10:AL16)</f>
        <v>643.93939393939399</v>
      </c>
      <c r="W49" s="29">
        <f t="shared" si="34"/>
        <v>2446.9696969696975</v>
      </c>
      <c r="X49" s="30">
        <f t="shared" si="35"/>
        <v>0.73684210526315796</v>
      </c>
      <c r="Y49" s="31">
        <f t="shared" si="36"/>
        <v>0.26315789473684209</v>
      </c>
      <c r="Z49" s="32"/>
    </row>
    <row r="50" spans="19:26" ht="13.8" thickBot="1" x14ac:dyDescent="0.3">
      <c r="S50" s="75" t="s">
        <v>18</v>
      </c>
      <c r="T50" s="28">
        <f>T46</f>
        <v>-6500</v>
      </c>
      <c r="U50" s="29">
        <f>AVERAGE(N18:N24)</f>
        <v>4207.5757575757589</v>
      </c>
      <c r="V50" s="29">
        <f>AVERAGE(K18:K24)</f>
        <v>601.01010101010104</v>
      </c>
      <c r="W50" s="29">
        <f t="shared" si="34"/>
        <v>4808.5858585858596</v>
      </c>
      <c r="X50" s="30">
        <f t="shared" si="35"/>
        <v>0.87501312887301763</v>
      </c>
      <c r="Y50" s="31">
        <f t="shared" si="36"/>
        <v>0.12498687112698244</v>
      </c>
      <c r="Z50" s="32"/>
    </row>
    <row r="51" spans="19:26" ht="13.8" thickBot="1" x14ac:dyDescent="0.3">
      <c r="S51" s="76"/>
      <c r="T51" s="28">
        <v>-5000</v>
      </c>
      <c r="U51" s="29">
        <f>AVERAGE(W18:W24)</f>
        <v>3506.0606060606069</v>
      </c>
      <c r="V51" s="29">
        <f>AVERAGE(T18:T24)</f>
        <v>601.01010101010104</v>
      </c>
      <c r="W51" s="29">
        <f t="shared" si="34"/>
        <v>4107.0707070707076</v>
      </c>
      <c r="X51" s="30">
        <f t="shared" si="35"/>
        <v>0.85366453516970009</v>
      </c>
      <c r="Y51" s="31">
        <f t="shared" si="36"/>
        <v>0.14633546483030005</v>
      </c>
      <c r="Z51" s="32"/>
    </row>
    <row r="52" spans="19:26" ht="13.8" thickBot="1" x14ac:dyDescent="0.3">
      <c r="S52" s="76"/>
      <c r="T52" s="28">
        <v>-3250</v>
      </c>
      <c r="U52" s="29">
        <f>AVERAGE(AF18:AF24)</f>
        <v>2704.5454545454545</v>
      </c>
      <c r="V52" s="29">
        <f>AVERAGE(AC18:AC24)</f>
        <v>601.01010101010104</v>
      </c>
      <c r="W52" s="29">
        <f t="shared" si="34"/>
        <v>3305.5555555555557</v>
      </c>
      <c r="X52" s="30">
        <f t="shared" si="35"/>
        <v>0.81818181818181812</v>
      </c>
      <c r="Y52" s="31">
        <f t="shared" si="36"/>
        <v>0.18181818181818182</v>
      </c>
      <c r="Z52" s="32"/>
    </row>
    <row r="53" spans="19:26" ht="13.8" thickBot="1" x14ac:dyDescent="0.3">
      <c r="S53" s="77"/>
      <c r="T53" s="28">
        <v>-2000</v>
      </c>
      <c r="U53" s="29">
        <f>AVERAGE(AO18:AO24)</f>
        <v>1803.0303030303035</v>
      </c>
      <c r="V53" s="29">
        <f>AVERAGE(AL18:AL24)</f>
        <v>601.01010101010104</v>
      </c>
      <c r="W53" s="29">
        <f t="shared" si="34"/>
        <v>2404.0404040404046</v>
      </c>
      <c r="X53" s="30">
        <f t="shared" si="35"/>
        <v>0.75</v>
      </c>
      <c r="Y53" s="31">
        <f t="shared" si="36"/>
        <v>0.24999999999999994</v>
      </c>
      <c r="Z53" s="32"/>
    </row>
    <row r="54" spans="19:26" x14ac:dyDescent="0.25">
      <c r="S54" s="33"/>
    </row>
    <row r="55" spans="19:26" x14ac:dyDescent="0.25">
      <c r="S55" s="33"/>
    </row>
  </sheetData>
  <mergeCells count="11">
    <mergeCell ref="Z1:AH1"/>
    <mergeCell ref="AL1:AQ1"/>
    <mergeCell ref="S28:T28"/>
    <mergeCell ref="U28:V28"/>
    <mergeCell ref="W28:X28"/>
    <mergeCell ref="Y28:Z28"/>
    <mergeCell ref="S42:S45"/>
    <mergeCell ref="S46:S49"/>
    <mergeCell ref="S50:S53"/>
    <mergeCell ref="H1:P1"/>
    <mergeCell ref="Q1:Y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366D-44D1-40B3-A0B2-F669A24BDAE4}">
  <sheetPr codeName="Sheet3"/>
  <dimension ref="A1:M56"/>
  <sheetViews>
    <sheetView zoomScale="140" zoomScaleNormal="140" workbookViewId="0">
      <pane xSplit="1" ySplit="3" topLeftCell="B44" activePane="bottomRight" state="frozen"/>
      <selection pane="topRight" activeCell="B1" sqref="B1"/>
      <selection pane="bottomLeft" activeCell="A4" sqref="A4"/>
      <selection pane="bottomRight" activeCell="E60" sqref="E60"/>
    </sheetView>
  </sheetViews>
  <sheetFormatPr defaultRowHeight="14.4" x14ac:dyDescent="0.3"/>
  <cols>
    <col min="1" max="1" width="11.4414062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46106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46075</v>
      </c>
      <c r="B4">
        <v>10903</v>
      </c>
      <c r="C4">
        <v>8380</v>
      </c>
      <c r="D4">
        <v>8415</v>
      </c>
      <c r="E4">
        <v>51392</v>
      </c>
      <c r="F4">
        <v>696</v>
      </c>
      <c r="G4">
        <v>279</v>
      </c>
      <c r="H4">
        <v>918</v>
      </c>
      <c r="I4">
        <v>0</v>
      </c>
      <c r="J4">
        <v>0</v>
      </c>
      <c r="K4" t="s">
        <v>36</v>
      </c>
    </row>
    <row r="5" spans="1:13" x14ac:dyDescent="0.3">
      <c r="A5" s="34">
        <v>46076</v>
      </c>
      <c r="B5">
        <v>10893</v>
      </c>
      <c r="C5">
        <v>8374</v>
      </c>
      <c r="D5">
        <v>8261</v>
      </c>
      <c r="E5">
        <v>50640</v>
      </c>
      <c r="F5">
        <v>701</v>
      </c>
      <c r="G5">
        <v>281</v>
      </c>
      <c r="H5">
        <v>830</v>
      </c>
      <c r="I5">
        <v>0</v>
      </c>
      <c r="J5">
        <v>0</v>
      </c>
      <c r="K5" t="s">
        <v>36</v>
      </c>
    </row>
    <row r="6" spans="1:13" x14ac:dyDescent="0.3">
      <c r="A6" s="34">
        <v>46077</v>
      </c>
      <c r="B6">
        <v>10701</v>
      </c>
      <c r="C6">
        <v>8399</v>
      </c>
      <c r="D6">
        <v>8270</v>
      </c>
      <c r="E6">
        <v>49428</v>
      </c>
      <c r="F6">
        <v>703</v>
      </c>
      <c r="G6">
        <v>281</v>
      </c>
      <c r="H6">
        <v>823</v>
      </c>
      <c r="I6">
        <v>0</v>
      </c>
      <c r="J6">
        <v>0</v>
      </c>
      <c r="K6" t="s">
        <v>36</v>
      </c>
    </row>
    <row r="7" spans="1:13" x14ac:dyDescent="0.3">
      <c r="A7" s="34">
        <v>46078</v>
      </c>
      <c r="B7">
        <v>10495</v>
      </c>
      <c r="C7">
        <v>8437</v>
      </c>
      <c r="D7">
        <v>8057</v>
      </c>
      <c r="E7">
        <v>47908</v>
      </c>
      <c r="F7">
        <v>577</v>
      </c>
      <c r="G7">
        <v>299</v>
      </c>
      <c r="H7">
        <v>1320</v>
      </c>
      <c r="I7">
        <v>0</v>
      </c>
      <c r="J7">
        <v>0</v>
      </c>
      <c r="K7" t="s">
        <v>36</v>
      </c>
    </row>
    <row r="8" spans="1:13" x14ac:dyDescent="0.3">
      <c r="A8" s="34">
        <v>46079</v>
      </c>
      <c r="B8">
        <v>10295</v>
      </c>
      <c r="C8">
        <v>8413</v>
      </c>
      <c r="D8">
        <v>7762</v>
      </c>
      <c r="E8">
        <v>51892</v>
      </c>
      <c r="F8">
        <v>446</v>
      </c>
      <c r="G8">
        <v>298</v>
      </c>
      <c r="H8">
        <v>1979</v>
      </c>
      <c r="I8">
        <v>0</v>
      </c>
      <c r="J8">
        <v>0</v>
      </c>
      <c r="K8" t="s">
        <v>36</v>
      </c>
    </row>
    <row r="9" spans="1:13" x14ac:dyDescent="0.3">
      <c r="A9" s="34">
        <v>46080</v>
      </c>
      <c r="B9">
        <v>9912</v>
      </c>
      <c r="C9">
        <v>8409</v>
      </c>
      <c r="D9">
        <v>7473</v>
      </c>
      <c r="E9">
        <v>58456</v>
      </c>
      <c r="F9">
        <v>343</v>
      </c>
      <c r="G9">
        <v>299</v>
      </c>
      <c r="H9">
        <v>2079</v>
      </c>
      <c r="I9">
        <v>0</v>
      </c>
      <c r="J9">
        <v>3106</v>
      </c>
      <c r="K9" t="s">
        <v>36</v>
      </c>
    </row>
    <row r="10" spans="1:13" x14ac:dyDescent="0.3">
      <c r="A10" s="34">
        <v>46081</v>
      </c>
      <c r="B10">
        <v>9714</v>
      </c>
      <c r="C10">
        <v>8428</v>
      </c>
      <c r="D10">
        <v>7166</v>
      </c>
      <c r="E10">
        <v>63664</v>
      </c>
      <c r="F10">
        <v>296</v>
      </c>
      <c r="G10">
        <v>332</v>
      </c>
      <c r="H10">
        <v>2239</v>
      </c>
      <c r="I10">
        <v>0</v>
      </c>
      <c r="J10">
        <v>21886</v>
      </c>
      <c r="K10" t="s">
        <v>36</v>
      </c>
    </row>
    <row r="11" spans="1:13" x14ac:dyDescent="0.3">
      <c r="A11" s="34">
        <v>46082</v>
      </c>
      <c r="B11">
        <v>9333</v>
      </c>
      <c r="C11">
        <v>8434</v>
      </c>
      <c r="D11">
        <v>6944</v>
      </c>
      <c r="E11">
        <v>64696</v>
      </c>
      <c r="F11">
        <v>297</v>
      </c>
      <c r="G11">
        <v>289</v>
      </c>
      <c r="H11">
        <v>2379</v>
      </c>
      <c r="I11">
        <v>0</v>
      </c>
      <c r="J11">
        <v>17424</v>
      </c>
      <c r="K11" t="s">
        <v>36</v>
      </c>
    </row>
    <row r="12" spans="1:13" x14ac:dyDescent="0.3">
      <c r="A12" s="34">
        <v>46083</v>
      </c>
      <c r="B12">
        <v>8916</v>
      </c>
      <c r="C12">
        <v>8425</v>
      </c>
      <c r="D12">
        <v>6779</v>
      </c>
      <c r="E12">
        <v>63016</v>
      </c>
      <c r="F12">
        <v>248</v>
      </c>
      <c r="G12">
        <v>338</v>
      </c>
      <c r="H12">
        <v>2263</v>
      </c>
      <c r="I12">
        <v>0</v>
      </c>
      <c r="J12">
        <v>7377</v>
      </c>
      <c r="K12" t="s">
        <v>36</v>
      </c>
    </row>
    <row r="13" spans="1:13" x14ac:dyDescent="0.3">
      <c r="A13" s="34">
        <v>46084</v>
      </c>
      <c r="B13">
        <v>8908</v>
      </c>
      <c r="C13">
        <v>8418</v>
      </c>
      <c r="D13">
        <v>6611</v>
      </c>
      <c r="E13">
        <v>60568</v>
      </c>
      <c r="F13">
        <v>204</v>
      </c>
      <c r="G13">
        <v>317</v>
      </c>
      <c r="H13">
        <v>1994</v>
      </c>
      <c r="I13">
        <v>0</v>
      </c>
      <c r="J13">
        <v>796</v>
      </c>
      <c r="K13" t="s">
        <v>36</v>
      </c>
    </row>
    <row r="14" spans="1:13" x14ac:dyDescent="0.3">
      <c r="A14" s="34">
        <v>46085</v>
      </c>
      <c r="B14">
        <v>8707</v>
      </c>
      <c r="C14">
        <v>8411</v>
      </c>
      <c r="D14">
        <v>6389</v>
      </c>
      <c r="E14">
        <v>57779</v>
      </c>
      <c r="F14">
        <v>148</v>
      </c>
      <c r="G14">
        <v>328</v>
      </c>
      <c r="H14">
        <v>1744</v>
      </c>
      <c r="I14">
        <v>0</v>
      </c>
      <c r="J14">
        <v>0</v>
      </c>
      <c r="K14" t="s">
        <v>36</v>
      </c>
    </row>
    <row r="15" spans="1:13" x14ac:dyDescent="0.3">
      <c r="A15" s="34">
        <v>46086</v>
      </c>
      <c r="B15">
        <v>8523</v>
      </c>
      <c r="C15">
        <v>8372</v>
      </c>
      <c r="D15">
        <v>6215</v>
      </c>
      <c r="E15">
        <v>54132</v>
      </c>
      <c r="F15">
        <v>99</v>
      </c>
      <c r="G15">
        <v>359</v>
      </c>
      <c r="H15">
        <v>1555</v>
      </c>
      <c r="I15">
        <v>0</v>
      </c>
      <c r="J15">
        <v>0</v>
      </c>
      <c r="K15" t="s">
        <v>36</v>
      </c>
    </row>
    <row r="16" spans="1:13" x14ac:dyDescent="0.3">
      <c r="A16" s="34">
        <v>46087</v>
      </c>
      <c r="B16">
        <v>8329</v>
      </c>
      <c r="C16">
        <v>8351</v>
      </c>
      <c r="D16">
        <v>6106</v>
      </c>
      <c r="E16">
        <v>50104</v>
      </c>
      <c r="F16">
        <v>104</v>
      </c>
      <c r="G16">
        <v>359</v>
      </c>
      <c r="H16">
        <v>1365</v>
      </c>
      <c r="I16">
        <v>0</v>
      </c>
      <c r="J16">
        <v>0</v>
      </c>
      <c r="K16" t="s">
        <v>36</v>
      </c>
    </row>
    <row r="17" spans="1:11" x14ac:dyDescent="0.3">
      <c r="A17" s="34">
        <v>46088</v>
      </c>
      <c r="B17">
        <v>8121</v>
      </c>
      <c r="C17">
        <v>8367</v>
      </c>
      <c r="D17">
        <v>5683</v>
      </c>
      <c r="E17">
        <v>46516</v>
      </c>
      <c r="F17">
        <v>105</v>
      </c>
      <c r="G17">
        <v>352</v>
      </c>
      <c r="H17">
        <v>1207</v>
      </c>
      <c r="I17">
        <v>0</v>
      </c>
      <c r="J17">
        <v>0</v>
      </c>
      <c r="K17" t="s">
        <v>36</v>
      </c>
    </row>
    <row r="18" spans="1:11" x14ac:dyDescent="0.3">
      <c r="A18" s="34">
        <v>46089</v>
      </c>
      <c r="B18">
        <v>7409</v>
      </c>
      <c r="C18">
        <v>8024</v>
      </c>
      <c r="D18">
        <v>5345</v>
      </c>
      <c r="E18">
        <v>43272</v>
      </c>
      <c r="F18">
        <v>112</v>
      </c>
      <c r="G18">
        <v>353</v>
      </c>
      <c r="H18">
        <v>1108</v>
      </c>
      <c r="I18">
        <v>0</v>
      </c>
      <c r="J18">
        <v>0</v>
      </c>
      <c r="K18" t="s">
        <v>36</v>
      </c>
    </row>
    <row r="19" spans="1:11" x14ac:dyDescent="0.3">
      <c r="A19" s="34">
        <v>46090</v>
      </c>
      <c r="B19">
        <v>7120</v>
      </c>
      <c r="C19">
        <v>8399</v>
      </c>
      <c r="D19">
        <v>5186</v>
      </c>
      <c r="E19">
        <v>40656</v>
      </c>
      <c r="F19">
        <v>114</v>
      </c>
      <c r="G19">
        <v>357</v>
      </c>
      <c r="H19">
        <v>1065</v>
      </c>
      <c r="I19">
        <v>0</v>
      </c>
      <c r="J19">
        <v>0</v>
      </c>
      <c r="K19" t="s">
        <v>36</v>
      </c>
    </row>
    <row r="20" spans="1:11" x14ac:dyDescent="0.3">
      <c r="A20" s="34">
        <v>46091</v>
      </c>
      <c r="B20">
        <v>7321</v>
      </c>
      <c r="C20">
        <v>8397</v>
      </c>
      <c r="D20">
        <v>5019</v>
      </c>
      <c r="E20">
        <v>39212</v>
      </c>
      <c r="F20">
        <v>78</v>
      </c>
      <c r="G20">
        <v>342</v>
      </c>
      <c r="H20">
        <v>1011</v>
      </c>
      <c r="I20">
        <v>0</v>
      </c>
      <c r="J20">
        <v>0</v>
      </c>
      <c r="K20" t="s">
        <v>36</v>
      </c>
    </row>
    <row r="21" spans="1:11" x14ac:dyDescent="0.3">
      <c r="A21" s="34">
        <v>46092</v>
      </c>
      <c r="B21">
        <v>6928</v>
      </c>
      <c r="C21">
        <v>8361</v>
      </c>
      <c r="D21">
        <v>4919</v>
      </c>
      <c r="E21">
        <v>37076</v>
      </c>
      <c r="F21">
        <v>54</v>
      </c>
      <c r="G21">
        <v>342</v>
      </c>
      <c r="H21">
        <v>949</v>
      </c>
      <c r="I21">
        <v>0</v>
      </c>
      <c r="J21">
        <v>0</v>
      </c>
      <c r="K21" t="s">
        <v>36</v>
      </c>
    </row>
    <row r="22" spans="1:11" x14ac:dyDescent="0.3">
      <c r="A22" s="34">
        <v>46093</v>
      </c>
      <c r="B22">
        <v>6942</v>
      </c>
      <c r="C22">
        <v>8353</v>
      </c>
      <c r="D22">
        <v>4792</v>
      </c>
      <c r="E22">
        <v>34136</v>
      </c>
      <c r="F22">
        <v>50</v>
      </c>
      <c r="G22">
        <v>331</v>
      </c>
      <c r="H22">
        <v>881</v>
      </c>
      <c r="I22">
        <v>0</v>
      </c>
      <c r="J22">
        <v>0</v>
      </c>
      <c r="K22" t="s">
        <v>36</v>
      </c>
    </row>
    <row r="23" spans="1:11" x14ac:dyDescent="0.3">
      <c r="A23" s="34">
        <v>46094</v>
      </c>
      <c r="B23">
        <v>6740</v>
      </c>
      <c r="C23">
        <v>8370</v>
      </c>
      <c r="D23">
        <v>4728</v>
      </c>
      <c r="E23">
        <v>30884</v>
      </c>
      <c r="F23">
        <v>54</v>
      </c>
      <c r="G23">
        <v>335</v>
      </c>
      <c r="H23">
        <v>839</v>
      </c>
      <c r="I23">
        <v>0</v>
      </c>
      <c r="J23">
        <v>0</v>
      </c>
      <c r="K23" t="s">
        <v>36</v>
      </c>
    </row>
    <row r="24" spans="1:11" x14ac:dyDescent="0.3">
      <c r="A24" s="34">
        <v>46095</v>
      </c>
      <c r="B24">
        <v>6528</v>
      </c>
      <c r="C24">
        <v>8378</v>
      </c>
      <c r="D24">
        <v>4813</v>
      </c>
      <c r="E24">
        <v>28720</v>
      </c>
      <c r="F24">
        <v>60</v>
      </c>
      <c r="G24">
        <v>330</v>
      </c>
      <c r="H24">
        <v>800</v>
      </c>
      <c r="I24">
        <v>0</v>
      </c>
      <c r="J24">
        <v>0</v>
      </c>
      <c r="K24" t="s">
        <v>36</v>
      </c>
    </row>
    <row r="25" spans="1:11" x14ac:dyDescent="0.3">
      <c r="A25" s="34">
        <v>46096</v>
      </c>
      <c r="B25">
        <v>6536</v>
      </c>
      <c r="C25">
        <v>8359</v>
      </c>
      <c r="D25">
        <v>4885</v>
      </c>
      <c r="E25">
        <v>27508</v>
      </c>
      <c r="F25">
        <v>63</v>
      </c>
      <c r="G25">
        <v>294</v>
      </c>
      <c r="H25">
        <v>755</v>
      </c>
      <c r="I25">
        <v>0</v>
      </c>
      <c r="J25">
        <v>0</v>
      </c>
      <c r="K25" t="s">
        <v>36</v>
      </c>
    </row>
    <row r="26" spans="1:11" x14ac:dyDescent="0.3">
      <c r="A26" s="34">
        <v>46097</v>
      </c>
      <c r="B26">
        <v>6005</v>
      </c>
      <c r="C26">
        <v>8343</v>
      </c>
      <c r="D26">
        <v>4883</v>
      </c>
      <c r="E26">
        <v>26652</v>
      </c>
      <c r="F26">
        <v>58</v>
      </c>
      <c r="G26">
        <v>236</v>
      </c>
      <c r="H26">
        <v>723</v>
      </c>
      <c r="I26">
        <v>0</v>
      </c>
      <c r="J26">
        <v>0</v>
      </c>
      <c r="K26" t="s">
        <v>36</v>
      </c>
    </row>
    <row r="27" spans="1:11" x14ac:dyDescent="0.3">
      <c r="A27" s="34">
        <v>46098</v>
      </c>
      <c r="B27">
        <v>6736</v>
      </c>
      <c r="C27">
        <v>8358</v>
      </c>
      <c r="D27">
        <v>4741</v>
      </c>
      <c r="E27">
        <v>25584</v>
      </c>
      <c r="F27">
        <v>63</v>
      </c>
      <c r="G27">
        <v>226</v>
      </c>
      <c r="H27">
        <v>708</v>
      </c>
      <c r="I27">
        <v>0</v>
      </c>
      <c r="J27">
        <v>0</v>
      </c>
      <c r="K27" t="s">
        <v>36</v>
      </c>
    </row>
    <row r="28" spans="1:11" x14ac:dyDescent="0.3">
      <c r="A28" s="34">
        <v>46099</v>
      </c>
      <c r="B28">
        <v>6538</v>
      </c>
      <c r="C28">
        <v>8343</v>
      </c>
      <c r="D28">
        <v>4593</v>
      </c>
      <c r="E28">
        <v>24200</v>
      </c>
      <c r="F28">
        <v>58</v>
      </c>
      <c r="G28">
        <v>227</v>
      </c>
      <c r="H28">
        <v>651</v>
      </c>
      <c r="I28">
        <v>0</v>
      </c>
      <c r="J28">
        <v>0</v>
      </c>
      <c r="K28" t="s">
        <v>36</v>
      </c>
    </row>
    <row r="29" spans="1:11" x14ac:dyDescent="0.3">
      <c r="A29" s="34">
        <v>46100</v>
      </c>
      <c r="B29">
        <v>585</v>
      </c>
      <c r="C29">
        <v>1677</v>
      </c>
      <c r="D29">
        <v>4214</v>
      </c>
      <c r="E29">
        <v>22556</v>
      </c>
      <c r="F29">
        <v>62</v>
      </c>
      <c r="G29">
        <v>226</v>
      </c>
      <c r="H29">
        <v>620</v>
      </c>
      <c r="I29">
        <v>0</v>
      </c>
      <c r="J29">
        <v>0</v>
      </c>
      <c r="K29" t="s">
        <v>36</v>
      </c>
    </row>
    <row r="30" spans="1:11" x14ac:dyDescent="0.3">
      <c r="A30" s="34">
        <v>46101</v>
      </c>
      <c r="B30">
        <v>6130</v>
      </c>
      <c r="C30">
        <v>8314</v>
      </c>
      <c r="D30">
        <v>3852</v>
      </c>
      <c r="E30">
        <v>21624</v>
      </c>
      <c r="F30">
        <v>63</v>
      </c>
      <c r="G30">
        <v>210</v>
      </c>
      <c r="H30">
        <v>607</v>
      </c>
      <c r="I30">
        <v>0</v>
      </c>
      <c r="J30">
        <v>0</v>
      </c>
      <c r="K30" t="s">
        <v>36</v>
      </c>
    </row>
    <row r="31" spans="1:11" x14ac:dyDescent="0.3">
      <c r="A31" s="34">
        <v>46102</v>
      </c>
      <c r="B31">
        <v>5729</v>
      </c>
      <c r="C31">
        <v>8362</v>
      </c>
      <c r="D31">
        <v>3562</v>
      </c>
      <c r="E31">
        <v>20584</v>
      </c>
      <c r="F31">
        <v>66</v>
      </c>
      <c r="G31">
        <v>205</v>
      </c>
      <c r="H31">
        <v>563</v>
      </c>
      <c r="I31">
        <v>0</v>
      </c>
      <c r="J31">
        <v>0</v>
      </c>
      <c r="K31" t="s">
        <v>36</v>
      </c>
    </row>
    <row r="32" spans="1:11" x14ac:dyDescent="0.3">
      <c r="A32" s="34">
        <v>46103</v>
      </c>
      <c r="B32">
        <v>5351</v>
      </c>
      <c r="C32">
        <v>8380</v>
      </c>
      <c r="D32">
        <v>3325</v>
      </c>
      <c r="E32">
        <v>19808</v>
      </c>
      <c r="F32">
        <v>62</v>
      </c>
      <c r="G32">
        <v>202</v>
      </c>
      <c r="H32">
        <v>553</v>
      </c>
      <c r="I32">
        <v>0</v>
      </c>
      <c r="J32">
        <v>0</v>
      </c>
      <c r="K32" t="s">
        <v>36</v>
      </c>
    </row>
    <row r="33" spans="1:11" x14ac:dyDescent="0.3">
      <c r="A33" s="34">
        <v>46104</v>
      </c>
      <c r="B33">
        <v>4954</v>
      </c>
      <c r="C33">
        <v>8381</v>
      </c>
      <c r="D33">
        <v>3057</v>
      </c>
      <c r="E33">
        <v>19100</v>
      </c>
      <c r="F33">
        <v>66</v>
      </c>
      <c r="G33">
        <v>199</v>
      </c>
      <c r="H33">
        <v>534</v>
      </c>
      <c r="I33">
        <v>0</v>
      </c>
      <c r="J33">
        <v>0</v>
      </c>
      <c r="K33" t="s">
        <v>36</v>
      </c>
    </row>
    <row r="34" spans="1:11" x14ac:dyDescent="0.3">
      <c r="A34" s="34">
        <v>46105</v>
      </c>
      <c r="B34">
        <v>6346</v>
      </c>
      <c r="C34">
        <v>6929</v>
      </c>
      <c r="D34">
        <v>2683</v>
      </c>
      <c r="E34">
        <v>18400</v>
      </c>
      <c r="F34">
        <v>61</v>
      </c>
      <c r="G34">
        <v>182</v>
      </c>
      <c r="H34">
        <v>500</v>
      </c>
      <c r="I34">
        <v>0</v>
      </c>
      <c r="J34">
        <v>0</v>
      </c>
      <c r="K34" t="s">
        <v>36</v>
      </c>
    </row>
    <row r="35" spans="1:11" x14ac:dyDescent="0.3">
      <c r="A35" s="34">
        <v>46106</v>
      </c>
      <c r="B35">
        <v>595</v>
      </c>
      <c r="C35">
        <v>6929</v>
      </c>
      <c r="D35">
        <v>2420</v>
      </c>
      <c r="E35">
        <v>17028</v>
      </c>
      <c r="F35">
        <v>61</v>
      </c>
      <c r="G35">
        <v>182</v>
      </c>
      <c r="H35">
        <v>500</v>
      </c>
      <c r="I35">
        <v>0</v>
      </c>
      <c r="J35">
        <v>0</v>
      </c>
      <c r="K35" t="s">
        <v>37</v>
      </c>
    </row>
    <row r="36" spans="1:11" x14ac:dyDescent="0.3">
      <c r="A36" s="34">
        <v>46107</v>
      </c>
      <c r="B36">
        <v>595</v>
      </c>
      <c r="C36">
        <v>6929</v>
      </c>
      <c r="D36">
        <v>2218</v>
      </c>
      <c r="E36">
        <v>15383</v>
      </c>
      <c r="F36">
        <v>61</v>
      </c>
      <c r="G36">
        <v>182</v>
      </c>
      <c r="H36">
        <v>500</v>
      </c>
      <c r="I36">
        <v>0</v>
      </c>
      <c r="J36">
        <v>0</v>
      </c>
      <c r="K36" t="s">
        <v>37</v>
      </c>
    </row>
    <row r="37" spans="1:11" x14ac:dyDescent="0.3">
      <c r="A37" s="34">
        <v>46108</v>
      </c>
      <c r="B37">
        <v>2182</v>
      </c>
      <c r="C37">
        <v>3570</v>
      </c>
      <c r="D37">
        <v>2068</v>
      </c>
      <c r="E37">
        <v>14049</v>
      </c>
      <c r="F37">
        <v>61</v>
      </c>
      <c r="G37">
        <v>182</v>
      </c>
      <c r="H37">
        <v>500</v>
      </c>
      <c r="I37">
        <v>0</v>
      </c>
      <c r="J37">
        <v>0</v>
      </c>
      <c r="K37" t="s">
        <v>37</v>
      </c>
    </row>
    <row r="38" spans="1:11" x14ac:dyDescent="0.3">
      <c r="A38" s="34">
        <v>46109</v>
      </c>
      <c r="B38">
        <v>1984</v>
      </c>
      <c r="C38">
        <v>3570</v>
      </c>
      <c r="D38">
        <v>1959</v>
      </c>
      <c r="E38">
        <v>13460</v>
      </c>
      <c r="F38">
        <v>61</v>
      </c>
      <c r="G38">
        <v>182</v>
      </c>
      <c r="H38">
        <v>500</v>
      </c>
      <c r="I38">
        <v>0</v>
      </c>
      <c r="J38">
        <v>0</v>
      </c>
      <c r="K38" t="s">
        <v>37</v>
      </c>
    </row>
    <row r="39" spans="1:11" x14ac:dyDescent="0.3">
      <c r="A39" s="34">
        <v>46110</v>
      </c>
      <c r="B39">
        <v>1785</v>
      </c>
      <c r="C39">
        <v>3570</v>
      </c>
      <c r="D39">
        <v>1894</v>
      </c>
      <c r="E39">
        <v>13111</v>
      </c>
      <c r="F39">
        <v>61</v>
      </c>
      <c r="G39">
        <v>182</v>
      </c>
      <c r="H39">
        <v>500</v>
      </c>
      <c r="I39">
        <v>0</v>
      </c>
      <c r="J39">
        <v>0</v>
      </c>
      <c r="K39" t="s">
        <v>37</v>
      </c>
    </row>
    <row r="40" spans="1:11" x14ac:dyDescent="0.3">
      <c r="A40" s="34">
        <v>46111</v>
      </c>
      <c r="B40">
        <v>1785</v>
      </c>
      <c r="C40">
        <v>3570</v>
      </c>
      <c r="D40">
        <v>1894</v>
      </c>
      <c r="E40">
        <v>12833</v>
      </c>
      <c r="F40">
        <v>61</v>
      </c>
      <c r="G40">
        <v>182</v>
      </c>
      <c r="H40">
        <v>500</v>
      </c>
      <c r="I40">
        <v>0</v>
      </c>
      <c r="J40">
        <v>0</v>
      </c>
      <c r="K40" t="s">
        <v>37</v>
      </c>
    </row>
    <row r="41" spans="1:11" x14ac:dyDescent="0.3">
      <c r="A41" s="34">
        <v>46112</v>
      </c>
      <c r="B41">
        <v>1785</v>
      </c>
      <c r="C41">
        <v>3570</v>
      </c>
      <c r="D41">
        <v>1894</v>
      </c>
      <c r="E41">
        <v>12668</v>
      </c>
      <c r="F41">
        <v>61</v>
      </c>
      <c r="G41">
        <v>182</v>
      </c>
      <c r="H41">
        <v>500</v>
      </c>
      <c r="I41">
        <v>0</v>
      </c>
      <c r="J41">
        <v>0</v>
      </c>
      <c r="K41" t="s">
        <v>37</v>
      </c>
    </row>
    <row r="42" spans="1:11" x14ac:dyDescent="0.3">
      <c r="A42" s="34">
        <v>46113</v>
      </c>
      <c r="B42">
        <v>1190</v>
      </c>
      <c r="C42">
        <v>3570</v>
      </c>
      <c r="D42">
        <v>2000</v>
      </c>
      <c r="E42">
        <v>12665</v>
      </c>
      <c r="F42">
        <v>61</v>
      </c>
      <c r="G42">
        <v>182</v>
      </c>
      <c r="H42">
        <v>500</v>
      </c>
      <c r="I42">
        <v>0</v>
      </c>
      <c r="J42">
        <v>0</v>
      </c>
      <c r="K42" t="s">
        <v>37</v>
      </c>
    </row>
    <row r="43" spans="1:11" x14ac:dyDescent="0.3">
      <c r="A43" s="34">
        <v>46114</v>
      </c>
      <c r="B43">
        <v>1190</v>
      </c>
      <c r="C43">
        <v>3570</v>
      </c>
      <c r="D43">
        <v>2000</v>
      </c>
      <c r="E43">
        <v>12975</v>
      </c>
      <c r="F43">
        <v>61</v>
      </c>
      <c r="G43">
        <v>182</v>
      </c>
      <c r="H43">
        <v>500</v>
      </c>
      <c r="I43">
        <v>0</v>
      </c>
      <c r="J43">
        <v>0</v>
      </c>
      <c r="K43" t="s">
        <v>37</v>
      </c>
    </row>
    <row r="44" spans="1:11" x14ac:dyDescent="0.3">
      <c r="A44" s="34">
        <v>46115</v>
      </c>
      <c r="B44">
        <v>1190</v>
      </c>
      <c r="C44">
        <v>3570</v>
      </c>
      <c r="D44">
        <v>2000</v>
      </c>
      <c r="E44">
        <v>13907</v>
      </c>
      <c r="F44">
        <v>61</v>
      </c>
      <c r="G44">
        <v>182</v>
      </c>
      <c r="H44">
        <v>500</v>
      </c>
      <c r="I44">
        <v>0</v>
      </c>
      <c r="J44">
        <v>0</v>
      </c>
      <c r="K44" t="s">
        <v>37</v>
      </c>
    </row>
    <row r="45" spans="1:11" x14ac:dyDescent="0.3">
      <c r="A45" s="34">
        <v>46116</v>
      </c>
      <c r="B45">
        <v>1190</v>
      </c>
      <c r="C45">
        <v>3570</v>
      </c>
      <c r="D45">
        <v>2000</v>
      </c>
      <c r="E45">
        <v>13000</v>
      </c>
      <c r="F45">
        <v>61</v>
      </c>
      <c r="G45">
        <v>182</v>
      </c>
      <c r="H45">
        <v>500</v>
      </c>
      <c r="I45">
        <v>0</v>
      </c>
      <c r="J45">
        <v>0</v>
      </c>
      <c r="K45" t="s">
        <v>37</v>
      </c>
    </row>
    <row r="46" spans="1:11" x14ac:dyDescent="0.3">
      <c r="A46" s="34">
        <v>46117</v>
      </c>
      <c r="B46">
        <v>1190</v>
      </c>
      <c r="C46">
        <v>3570</v>
      </c>
      <c r="D46">
        <v>2000</v>
      </c>
      <c r="E46">
        <v>12000</v>
      </c>
      <c r="F46">
        <v>61</v>
      </c>
      <c r="G46">
        <v>182</v>
      </c>
      <c r="H46">
        <v>500</v>
      </c>
      <c r="I46">
        <v>0</v>
      </c>
      <c r="J46">
        <v>0</v>
      </c>
      <c r="K46" t="s">
        <v>37</v>
      </c>
    </row>
    <row r="47" spans="1:11" x14ac:dyDescent="0.3">
      <c r="A47" s="34">
        <v>46118</v>
      </c>
      <c r="B47">
        <v>1190</v>
      </c>
      <c r="C47">
        <v>3570</v>
      </c>
      <c r="D47">
        <v>2000</v>
      </c>
      <c r="E47">
        <v>11000</v>
      </c>
      <c r="F47">
        <v>61</v>
      </c>
      <c r="G47">
        <v>182</v>
      </c>
      <c r="H47">
        <v>500</v>
      </c>
      <c r="I47">
        <v>0</v>
      </c>
      <c r="J47">
        <v>0</v>
      </c>
      <c r="K47" t="s">
        <v>37</v>
      </c>
    </row>
    <row r="48" spans="1:11" x14ac:dyDescent="0.3">
      <c r="A48" s="34">
        <v>46119</v>
      </c>
      <c r="B48">
        <v>1190</v>
      </c>
      <c r="C48">
        <v>3570</v>
      </c>
      <c r="D48">
        <v>2000</v>
      </c>
      <c r="E48">
        <v>10000</v>
      </c>
      <c r="F48">
        <v>61</v>
      </c>
      <c r="G48">
        <v>182</v>
      </c>
      <c r="H48">
        <v>500</v>
      </c>
      <c r="I48">
        <v>0</v>
      </c>
      <c r="J48">
        <v>0</v>
      </c>
      <c r="K48" t="s">
        <v>37</v>
      </c>
    </row>
    <row r="49" spans="1:11" x14ac:dyDescent="0.3">
      <c r="A49" s="34">
        <v>46120</v>
      </c>
      <c r="B49">
        <f>B48</f>
        <v>1190</v>
      </c>
      <c r="C49">
        <f t="shared" ref="C49:K49" si="0">C48</f>
        <v>3570</v>
      </c>
      <c r="D49">
        <f t="shared" si="0"/>
        <v>2000</v>
      </c>
      <c r="E49">
        <f t="shared" si="0"/>
        <v>10000</v>
      </c>
      <c r="F49">
        <f t="shared" si="0"/>
        <v>61</v>
      </c>
      <c r="G49">
        <f t="shared" si="0"/>
        <v>182</v>
      </c>
      <c r="H49">
        <f t="shared" si="0"/>
        <v>500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34">
        <v>46121</v>
      </c>
      <c r="B50">
        <f t="shared" ref="B50:B55" si="1">B49</f>
        <v>1190</v>
      </c>
      <c r="C50">
        <f t="shared" ref="C50:C55" si="2">C49</f>
        <v>3570</v>
      </c>
      <c r="D50">
        <f t="shared" ref="D50:D55" si="3">D49</f>
        <v>2000</v>
      </c>
      <c r="E50">
        <f t="shared" ref="E50:E55" si="4">E49</f>
        <v>10000</v>
      </c>
      <c r="F50">
        <f t="shared" ref="F50:F55" si="5">F49</f>
        <v>61</v>
      </c>
      <c r="G50">
        <f t="shared" ref="G50:G55" si="6">G49</f>
        <v>182</v>
      </c>
      <c r="H50">
        <f t="shared" ref="H50:H55" si="7">H49</f>
        <v>500</v>
      </c>
      <c r="I50">
        <f t="shared" ref="I50:I55" si="8">I49</f>
        <v>0</v>
      </c>
      <c r="J50">
        <f t="shared" ref="J50:J55" si="9">J49</f>
        <v>0</v>
      </c>
      <c r="K50" t="str">
        <f t="shared" ref="K50:K55" si="10">K49</f>
        <v>Forecasted</v>
      </c>
    </row>
    <row r="51" spans="1:11" x14ac:dyDescent="0.3">
      <c r="A51" s="34">
        <v>46122</v>
      </c>
      <c r="B51">
        <f t="shared" si="1"/>
        <v>1190</v>
      </c>
      <c r="C51">
        <f t="shared" si="2"/>
        <v>3570</v>
      </c>
      <c r="D51">
        <f t="shared" si="3"/>
        <v>2000</v>
      </c>
      <c r="E51">
        <f t="shared" si="4"/>
        <v>10000</v>
      </c>
      <c r="F51">
        <f t="shared" si="5"/>
        <v>61</v>
      </c>
      <c r="G51">
        <f t="shared" si="6"/>
        <v>182</v>
      </c>
      <c r="H51">
        <f t="shared" si="7"/>
        <v>500</v>
      </c>
      <c r="I51">
        <f t="shared" si="8"/>
        <v>0</v>
      </c>
      <c r="J51">
        <f t="shared" si="9"/>
        <v>0</v>
      </c>
      <c r="K51" t="str">
        <f t="shared" si="10"/>
        <v>Forecasted</v>
      </c>
    </row>
    <row r="52" spans="1:11" x14ac:dyDescent="0.3">
      <c r="A52" s="34">
        <v>46123</v>
      </c>
      <c r="B52">
        <f t="shared" si="1"/>
        <v>1190</v>
      </c>
      <c r="C52">
        <f t="shared" si="2"/>
        <v>3570</v>
      </c>
      <c r="D52">
        <f t="shared" si="3"/>
        <v>2000</v>
      </c>
      <c r="E52">
        <f t="shared" si="4"/>
        <v>10000</v>
      </c>
      <c r="F52">
        <f t="shared" si="5"/>
        <v>61</v>
      </c>
      <c r="G52">
        <f t="shared" si="6"/>
        <v>182</v>
      </c>
      <c r="H52">
        <f t="shared" si="7"/>
        <v>500</v>
      </c>
      <c r="I52">
        <f t="shared" si="8"/>
        <v>0</v>
      </c>
      <c r="J52">
        <f t="shared" si="9"/>
        <v>0</v>
      </c>
      <c r="K52" t="str">
        <f t="shared" si="10"/>
        <v>Forecasted</v>
      </c>
    </row>
    <row r="53" spans="1:11" x14ac:dyDescent="0.3">
      <c r="A53" s="34">
        <v>46124</v>
      </c>
      <c r="B53">
        <f t="shared" si="1"/>
        <v>1190</v>
      </c>
      <c r="C53">
        <f t="shared" si="2"/>
        <v>3570</v>
      </c>
      <c r="D53">
        <f t="shared" si="3"/>
        <v>2000</v>
      </c>
      <c r="E53">
        <f t="shared" si="4"/>
        <v>10000</v>
      </c>
      <c r="F53">
        <f t="shared" si="5"/>
        <v>61</v>
      </c>
      <c r="G53">
        <f t="shared" si="6"/>
        <v>182</v>
      </c>
      <c r="H53">
        <f t="shared" si="7"/>
        <v>500</v>
      </c>
      <c r="I53">
        <f t="shared" si="8"/>
        <v>0</v>
      </c>
      <c r="J53">
        <f t="shared" si="9"/>
        <v>0</v>
      </c>
      <c r="K53" t="str">
        <f t="shared" si="10"/>
        <v>Forecasted</v>
      </c>
    </row>
    <row r="54" spans="1:11" x14ac:dyDescent="0.3">
      <c r="A54" s="34">
        <v>46125</v>
      </c>
      <c r="B54">
        <f t="shared" si="1"/>
        <v>1190</v>
      </c>
      <c r="C54">
        <f t="shared" si="2"/>
        <v>3570</v>
      </c>
      <c r="D54">
        <f t="shared" si="3"/>
        <v>2000</v>
      </c>
      <c r="E54">
        <f t="shared" si="4"/>
        <v>10000</v>
      </c>
      <c r="F54">
        <f t="shared" si="5"/>
        <v>61</v>
      </c>
      <c r="G54">
        <f t="shared" si="6"/>
        <v>182</v>
      </c>
      <c r="H54">
        <f t="shared" si="7"/>
        <v>500</v>
      </c>
      <c r="I54">
        <f t="shared" si="8"/>
        <v>0</v>
      </c>
      <c r="J54">
        <f t="shared" si="9"/>
        <v>0</v>
      </c>
      <c r="K54" t="str">
        <f t="shared" si="10"/>
        <v>Forecasted</v>
      </c>
    </row>
    <row r="55" spans="1:11" x14ac:dyDescent="0.3">
      <c r="A55" s="34">
        <v>46126</v>
      </c>
      <c r="B55">
        <f t="shared" si="1"/>
        <v>1190</v>
      </c>
      <c r="C55">
        <f t="shared" si="2"/>
        <v>3570</v>
      </c>
      <c r="D55">
        <f t="shared" si="3"/>
        <v>2000</v>
      </c>
      <c r="E55">
        <f t="shared" si="4"/>
        <v>10000</v>
      </c>
      <c r="F55">
        <f t="shared" si="5"/>
        <v>61</v>
      </c>
      <c r="G55">
        <f t="shared" si="6"/>
        <v>182</v>
      </c>
      <c r="H55">
        <f t="shared" si="7"/>
        <v>500</v>
      </c>
      <c r="I55">
        <f t="shared" si="8"/>
        <v>0</v>
      </c>
      <c r="J55">
        <f t="shared" si="9"/>
        <v>0</v>
      </c>
      <c r="K55" t="str">
        <f t="shared" si="10"/>
        <v>Forecasted</v>
      </c>
    </row>
    <row r="56" spans="1:11" x14ac:dyDescent="0.3">
      <c r="A56" s="34">
        <v>46127</v>
      </c>
      <c r="B56">
        <f t="shared" ref="B56" si="11">B55</f>
        <v>1190</v>
      </c>
      <c r="C56">
        <f t="shared" ref="C56" si="12">C55</f>
        <v>3570</v>
      </c>
      <c r="D56">
        <f t="shared" ref="D56" si="13">D55</f>
        <v>2000</v>
      </c>
      <c r="E56">
        <f t="shared" ref="E56" si="14">E55</f>
        <v>10000</v>
      </c>
      <c r="F56">
        <f t="shared" ref="F56" si="15">F55</f>
        <v>61</v>
      </c>
      <c r="G56">
        <f t="shared" ref="G56" si="16">G55</f>
        <v>182</v>
      </c>
      <c r="H56">
        <f t="shared" ref="H56" si="17">H55</f>
        <v>500</v>
      </c>
      <c r="I56">
        <f t="shared" ref="I56" si="18">I55</f>
        <v>0</v>
      </c>
      <c r="J56">
        <f t="shared" ref="J56" si="19">J55</f>
        <v>0</v>
      </c>
      <c r="K56" t="str">
        <f t="shared" ref="K56" si="20">K55</f>
        <v>Forecasted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5ABD-10B6-4742-92B9-A6F74C0CB868}">
  <sheetPr codeName="Sheet4"/>
  <dimension ref="A1:M56"/>
  <sheetViews>
    <sheetView zoomScale="140" zoomScaleNormal="140" workbookViewId="0">
      <pane xSplit="1" ySplit="3" topLeftCell="B41" activePane="bottomRight" state="frozen"/>
      <selection pane="topRight" activeCell="B1" sqref="B1"/>
      <selection pane="bottomLeft" activeCell="A4" sqref="A4"/>
      <selection pane="bottomRight" activeCell="C59" sqref="C59"/>
    </sheetView>
  </sheetViews>
  <sheetFormatPr defaultColWidth="13.88671875" defaultRowHeight="14.4" x14ac:dyDescent="0.3"/>
  <cols>
    <col min="1" max="13" width="10.664062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46106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46075</v>
      </c>
      <c r="B4">
        <v>10903</v>
      </c>
      <c r="C4">
        <v>8380</v>
      </c>
      <c r="D4">
        <v>8415</v>
      </c>
      <c r="E4">
        <v>51392</v>
      </c>
      <c r="F4">
        <v>696</v>
      </c>
      <c r="G4">
        <v>279</v>
      </c>
      <c r="H4">
        <v>918</v>
      </c>
      <c r="I4">
        <v>0</v>
      </c>
      <c r="J4">
        <v>0</v>
      </c>
      <c r="K4" t="s">
        <v>36</v>
      </c>
    </row>
    <row r="5" spans="1:13" x14ac:dyDescent="0.3">
      <c r="A5" s="34">
        <v>46076</v>
      </c>
      <c r="B5">
        <v>10893</v>
      </c>
      <c r="C5">
        <v>8374</v>
      </c>
      <c r="D5">
        <v>8261</v>
      </c>
      <c r="E5">
        <v>50640</v>
      </c>
      <c r="F5">
        <v>701</v>
      </c>
      <c r="G5">
        <v>281</v>
      </c>
      <c r="H5">
        <v>830</v>
      </c>
      <c r="I5">
        <v>0</v>
      </c>
      <c r="J5">
        <v>0</v>
      </c>
      <c r="K5" t="s">
        <v>36</v>
      </c>
    </row>
    <row r="6" spans="1:13" x14ac:dyDescent="0.3">
      <c r="A6" s="34">
        <v>46077</v>
      </c>
      <c r="B6">
        <v>10701</v>
      </c>
      <c r="C6">
        <v>8399</v>
      </c>
      <c r="D6">
        <v>8270</v>
      </c>
      <c r="E6">
        <v>49428</v>
      </c>
      <c r="F6">
        <v>703</v>
      </c>
      <c r="G6">
        <v>281</v>
      </c>
      <c r="H6">
        <v>823</v>
      </c>
      <c r="I6">
        <v>0</v>
      </c>
      <c r="J6">
        <v>0</v>
      </c>
      <c r="K6" t="s">
        <v>36</v>
      </c>
    </row>
    <row r="7" spans="1:13" x14ac:dyDescent="0.3">
      <c r="A7" s="34">
        <v>46078</v>
      </c>
      <c r="B7">
        <v>10495</v>
      </c>
      <c r="C7">
        <v>8437</v>
      </c>
      <c r="D7">
        <v>8057</v>
      </c>
      <c r="E7">
        <v>47908</v>
      </c>
      <c r="F7">
        <v>577</v>
      </c>
      <c r="G7">
        <v>299</v>
      </c>
      <c r="H7">
        <v>1320</v>
      </c>
      <c r="I7">
        <v>0</v>
      </c>
      <c r="J7">
        <v>0</v>
      </c>
      <c r="K7" t="s">
        <v>36</v>
      </c>
    </row>
    <row r="8" spans="1:13" x14ac:dyDescent="0.3">
      <c r="A8" s="34">
        <v>46079</v>
      </c>
      <c r="B8">
        <v>10295</v>
      </c>
      <c r="C8">
        <v>8413</v>
      </c>
      <c r="D8">
        <v>7762</v>
      </c>
      <c r="E8">
        <v>51892</v>
      </c>
      <c r="F8">
        <v>446</v>
      </c>
      <c r="G8">
        <v>298</v>
      </c>
      <c r="H8">
        <v>1979</v>
      </c>
      <c r="I8">
        <v>0</v>
      </c>
      <c r="J8">
        <v>0</v>
      </c>
      <c r="K8" t="s">
        <v>36</v>
      </c>
    </row>
    <row r="9" spans="1:13" x14ac:dyDescent="0.3">
      <c r="A9" s="34">
        <v>46080</v>
      </c>
      <c r="B9">
        <v>9912</v>
      </c>
      <c r="C9">
        <v>8409</v>
      </c>
      <c r="D9">
        <v>7473</v>
      </c>
      <c r="E9">
        <v>58456</v>
      </c>
      <c r="F9">
        <v>343</v>
      </c>
      <c r="G9">
        <v>299</v>
      </c>
      <c r="H9">
        <v>2079</v>
      </c>
      <c r="I9">
        <v>0</v>
      </c>
      <c r="J9">
        <v>3106</v>
      </c>
      <c r="K9" t="s">
        <v>36</v>
      </c>
    </row>
    <row r="10" spans="1:13" x14ac:dyDescent="0.3">
      <c r="A10" s="34">
        <v>46081</v>
      </c>
      <c r="B10">
        <v>9714</v>
      </c>
      <c r="C10">
        <v>8428</v>
      </c>
      <c r="D10">
        <v>7166</v>
      </c>
      <c r="E10">
        <v>63664</v>
      </c>
      <c r="F10">
        <v>296</v>
      </c>
      <c r="G10">
        <v>332</v>
      </c>
      <c r="H10">
        <v>2239</v>
      </c>
      <c r="I10">
        <v>0</v>
      </c>
      <c r="J10">
        <v>21886</v>
      </c>
      <c r="K10" t="s">
        <v>36</v>
      </c>
    </row>
    <row r="11" spans="1:13" x14ac:dyDescent="0.3">
      <c r="A11" s="34">
        <v>46082</v>
      </c>
      <c r="B11">
        <v>9333</v>
      </c>
      <c r="C11">
        <v>8434</v>
      </c>
      <c r="D11">
        <v>6944</v>
      </c>
      <c r="E11">
        <v>64696</v>
      </c>
      <c r="F11">
        <v>297</v>
      </c>
      <c r="G11">
        <v>289</v>
      </c>
      <c r="H11">
        <v>2379</v>
      </c>
      <c r="I11">
        <v>0</v>
      </c>
      <c r="J11">
        <v>17424</v>
      </c>
      <c r="K11" t="s">
        <v>36</v>
      </c>
    </row>
    <row r="12" spans="1:13" x14ac:dyDescent="0.3">
      <c r="A12" s="34">
        <v>46083</v>
      </c>
      <c r="B12">
        <v>8916</v>
      </c>
      <c r="C12">
        <v>8425</v>
      </c>
      <c r="D12">
        <v>6779</v>
      </c>
      <c r="E12">
        <v>63016</v>
      </c>
      <c r="F12">
        <v>248</v>
      </c>
      <c r="G12">
        <v>338</v>
      </c>
      <c r="H12">
        <v>2263</v>
      </c>
      <c r="I12">
        <v>0</v>
      </c>
      <c r="J12">
        <v>7377</v>
      </c>
      <c r="K12" t="s">
        <v>36</v>
      </c>
    </row>
    <row r="13" spans="1:13" x14ac:dyDescent="0.3">
      <c r="A13" s="34">
        <v>46084</v>
      </c>
      <c r="B13">
        <v>8908</v>
      </c>
      <c r="C13">
        <v>8418</v>
      </c>
      <c r="D13">
        <v>6611</v>
      </c>
      <c r="E13">
        <v>60568</v>
      </c>
      <c r="F13">
        <v>204</v>
      </c>
      <c r="G13">
        <v>317</v>
      </c>
      <c r="H13">
        <v>1994</v>
      </c>
      <c r="I13">
        <v>0</v>
      </c>
      <c r="J13">
        <v>796</v>
      </c>
      <c r="K13" t="s">
        <v>36</v>
      </c>
    </row>
    <row r="14" spans="1:13" x14ac:dyDescent="0.3">
      <c r="A14" s="34">
        <v>46085</v>
      </c>
      <c r="B14">
        <v>8707</v>
      </c>
      <c r="C14">
        <v>8411</v>
      </c>
      <c r="D14">
        <v>6389</v>
      </c>
      <c r="E14">
        <v>57779</v>
      </c>
      <c r="F14">
        <v>148</v>
      </c>
      <c r="G14">
        <v>328</v>
      </c>
      <c r="H14">
        <v>1744</v>
      </c>
      <c r="I14">
        <v>0</v>
      </c>
      <c r="J14">
        <v>0</v>
      </c>
      <c r="K14" t="s">
        <v>36</v>
      </c>
    </row>
    <row r="15" spans="1:13" x14ac:dyDescent="0.3">
      <c r="A15" s="34">
        <v>46086</v>
      </c>
      <c r="B15">
        <v>8523</v>
      </c>
      <c r="C15">
        <v>8372</v>
      </c>
      <c r="D15">
        <v>6215</v>
      </c>
      <c r="E15">
        <v>54132</v>
      </c>
      <c r="F15">
        <v>99</v>
      </c>
      <c r="G15">
        <v>359</v>
      </c>
      <c r="H15">
        <v>1555</v>
      </c>
      <c r="I15">
        <v>0</v>
      </c>
      <c r="J15">
        <v>0</v>
      </c>
      <c r="K15" t="s">
        <v>36</v>
      </c>
    </row>
    <row r="16" spans="1:13" x14ac:dyDescent="0.3">
      <c r="A16" s="34">
        <v>46087</v>
      </c>
      <c r="B16">
        <v>8329</v>
      </c>
      <c r="C16">
        <v>8351</v>
      </c>
      <c r="D16">
        <v>6106</v>
      </c>
      <c r="E16">
        <v>50104</v>
      </c>
      <c r="F16">
        <v>104</v>
      </c>
      <c r="G16">
        <v>359</v>
      </c>
      <c r="H16">
        <v>1365</v>
      </c>
      <c r="I16">
        <v>0</v>
      </c>
      <c r="J16">
        <v>0</v>
      </c>
      <c r="K16" t="s">
        <v>36</v>
      </c>
    </row>
    <row r="17" spans="1:11" x14ac:dyDescent="0.3">
      <c r="A17" s="34">
        <v>46088</v>
      </c>
      <c r="B17">
        <v>8121</v>
      </c>
      <c r="C17">
        <v>8367</v>
      </c>
      <c r="D17">
        <v>5683</v>
      </c>
      <c r="E17">
        <v>46516</v>
      </c>
      <c r="F17">
        <v>105</v>
      </c>
      <c r="G17">
        <v>352</v>
      </c>
      <c r="H17">
        <v>1207</v>
      </c>
      <c r="I17">
        <v>0</v>
      </c>
      <c r="J17">
        <v>0</v>
      </c>
      <c r="K17" t="s">
        <v>36</v>
      </c>
    </row>
    <row r="18" spans="1:11" x14ac:dyDescent="0.3">
      <c r="A18" s="34">
        <v>46089</v>
      </c>
      <c r="B18">
        <v>7409</v>
      </c>
      <c r="C18">
        <v>8024</v>
      </c>
      <c r="D18">
        <v>5345</v>
      </c>
      <c r="E18">
        <v>43272</v>
      </c>
      <c r="F18">
        <v>112</v>
      </c>
      <c r="G18">
        <v>353</v>
      </c>
      <c r="H18">
        <v>1108</v>
      </c>
      <c r="I18">
        <v>0</v>
      </c>
      <c r="J18">
        <v>0</v>
      </c>
      <c r="K18" t="s">
        <v>36</v>
      </c>
    </row>
    <row r="19" spans="1:11" x14ac:dyDescent="0.3">
      <c r="A19" s="34">
        <v>46090</v>
      </c>
      <c r="B19">
        <v>7120</v>
      </c>
      <c r="C19">
        <v>8399</v>
      </c>
      <c r="D19">
        <v>5186</v>
      </c>
      <c r="E19">
        <v>40656</v>
      </c>
      <c r="F19">
        <v>114</v>
      </c>
      <c r="G19">
        <v>357</v>
      </c>
      <c r="H19">
        <v>1065</v>
      </c>
      <c r="I19">
        <v>0</v>
      </c>
      <c r="J19">
        <v>0</v>
      </c>
      <c r="K19" t="s">
        <v>36</v>
      </c>
    </row>
    <row r="20" spans="1:11" x14ac:dyDescent="0.3">
      <c r="A20" s="34">
        <v>46091</v>
      </c>
      <c r="B20">
        <v>7321</v>
      </c>
      <c r="C20">
        <v>8397</v>
      </c>
      <c r="D20">
        <v>5019</v>
      </c>
      <c r="E20">
        <v>39212</v>
      </c>
      <c r="F20">
        <v>78</v>
      </c>
      <c r="G20">
        <v>342</v>
      </c>
      <c r="H20">
        <v>1011</v>
      </c>
      <c r="I20">
        <v>0</v>
      </c>
      <c r="J20">
        <v>0</v>
      </c>
      <c r="K20" t="s">
        <v>36</v>
      </c>
    </row>
    <row r="21" spans="1:11" x14ac:dyDescent="0.3">
      <c r="A21" s="34">
        <v>46092</v>
      </c>
      <c r="B21">
        <v>6928</v>
      </c>
      <c r="C21">
        <v>8361</v>
      </c>
      <c r="D21">
        <v>4919</v>
      </c>
      <c r="E21">
        <v>37076</v>
      </c>
      <c r="F21">
        <v>54</v>
      </c>
      <c r="G21">
        <v>342</v>
      </c>
      <c r="H21">
        <v>949</v>
      </c>
      <c r="I21">
        <v>0</v>
      </c>
      <c r="J21">
        <v>0</v>
      </c>
      <c r="K21" t="s">
        <v>36</v>
      </c>
    </row>
    <row r="22" spans="1:11" x14ac:dyDescent="0.3">
      <c r="A22" s="34">
        <v>46093</v>
      </c>
      <c r="B22">
        <v>6942</v>
      </c>
      <c r="C22">
        <v>8353</v>
      </c>
      <c r="D22">
        <v>4792</v>
      </c>
      <c r="E22">
        <v>34136</v>
      </c>
      <c r="F22">
        <v>50</v>
      </c>
      <c r="G22">
        <v>331</v>
      </c>
      <c r="H22">
        <v>881</v>
      </c>
      <c r="I22">
        <v>0</v>
      </c>
      <c r="J22">
        <v>0</v>
      </c>
      <c r="K22" t="s">
        <v>36</v>
      </c>
    </row>
    <row r="23" spans="1:11" x14ac:dyDescent="0.3">
      <c r="A23" s="34">
        <v>46094</v>
      </c>
      <c r="B23">
        <v>6740</v>
      </c>
      <c r="C23">
        <v>8370</v>
      </c>
      <c r="D23">
        <v>4728</v>
      </c>
      <c r="E23">
        <v>30884</v>
      </c>
      <c r="F23">
        <v>54</v>
      </c>
      <c r="G23">
        <v>335</v>
      </c>
      <c r="H23">
        <v>839</v>
      </c>
      <c r="I23">
        <v>0</v>
      </c>
      <c r="J23">
        <v>0</v>
      </c>
      <c r="K23" t="s">
        <v>36</v>
      </c>
    </row>
    <row r="24" spans="1:11" x14ac:dyDescent="0.3">
      <c r="A24" s="34">
        <v>46095</v>
      </c>
      <c r="B24">
        <v>6528</v>
      </c>
      <c r="C24">
        <v>8378</v>
      </c>
      <c r="D24">
        <v>4813</v>
      </c>
      <c r="E24">
        <v>28720</v>
      </c>
      <c r="F24">
        <v>60</v>
      </c>
      <c r="G24">
        <v>330</v>
      </c>
      <c r="H24">
        <v>800</v>
      </c>
      <c r="I24">
        <v>0</v>
      </c>
      <c r="J24">
        <v>0</v>
      </c>
      <c r="K24" t="s">
        <v>36</v>
      </c>
    </row>
    <row r="25" spans="1:11" x14ac:dyDescent="0.3">
      <c r="A25" s="34">
        <v>46096</v>
      </c>
      <c r="B25">
        <v>6536</v>
      </c>
      <c r="C25">
        <v>8359</v>
      </c>
      <c r="D25">
        <v>4885</v>
      </c>
      <c r="E25">
        <v>27508</v>
      </c>
      <c r="F25">
        <v>63</v>
      </c>
      <c r="G25">
        <v>294</v>
      </c>
      <c r="H25">
        <v>755</v>
      </c>
      <c r="I25">
        <v>0</v>
      </c>
      <c r="J25">
        <v>0</v>
      </c>
      <c r="K25" t="s">
        <v>36</v>
      </c>
    </row>
    <row r="26" spans="1:11" x14ac:dyDescent="0.3">
      <c r="A26" s="34">
        <v>46097</v>
      </c>
      <c r="B26">
        <v>6005</v>
      </c>
      <c r="C26">
        <v>8343</v>
      </c>
      <c r="D26">
        <v>4883</v>
      </c>
      <c r="E26">
        <v>26652</v>
      </c>
      <c r="F26">
        <v>58</v>
      </c>
      <c r="G26">
        <v>236</v>
      </c>
      <c r="H26">
        <v>723</v>
      </c>
      <c r="I26">
        <v>0</v>
      </c>
      <c r="J26">
        <v>0</v>
      </c>
      <c r="K26" t="s">
        <v>36</v>
      </c>
    </row>
    <row r="27" spans="1:11" x14ac:dyDescent="0.3">
      <c r="A27" s="34">
        <v>46098</v>
      </c>
      <c r="B27">
        <v>6736</v>
      </c>
      <c r="C27">
        <v>8358</v>
      </c>
      <c r="D27">
        <v>4741</v>
      </c>
      <c r="E27">
        <v>25584</v>
      </c>
      <c r="F27">
        <v>63</v>
      </c>
      <c r="G27">
        <v>226</v>
      </c>
      <c r="H27">
        <v>708</v>
      </c>
      <c r="I27">
        <v>0</v>
      </c>
      <c r="J27">
        <v>0</v>
      </c>
      <c r="K27" t="s">
        <v>36</v>
      </c>
    </row>
    <row r="28" spans="1:11" x14ac:dyDescent="0.3">
      <c r="A28" s="34">
        <v>46099</v>
      </c>
      <c r="B28">
        <v>6538</v>
      </c>
      <c r="C28">
        <v>8343</v>
      </c>
      <c r="D28">
        <v>4593</v>
      </c>
      <c r="E28">
        <v>24200</v>
      </c>
      <c r="F28">
        <v>58</v>
      </c>
      <c r="G28">
        <v>227</v>
      </c>
      <c r="H28">
        <v>651</v>
      </c>
      <c r="I28">
        <v>0</v>
      </c>
      <c r="J28">
        <v>0</v>
      </c>
      <c r="K28" t="s">
        <v>36</v>
      </c>
    </row>
    <row r="29" spans="1:11" x14ac:dyDescent="0.3">
      <c r="A29" s="34">
        <v>46100</v>
      </c>
      <c r="B29">
        <v>585</v>
      </c>
      <c r="C29">
        <v>1677</v>
      </c>
      <c r="D29">
        <v>4214</v>
      </c>
      <c r="E29">
        <v>22556</v>
      </c>
      <c r="F29">
        <v>62</v>
      </c>
      <c r="G29">
        <v>226</v>
      </c>
      <c r="H29">
        <v>620</v>
      </c>
      <c r="I29">
        <v>0</v>
      </c>
      <c r="J29">
        <v>0</v>
      </c>
      <c r="K29" t="s">
        <v>36</v>
      </c>
    </row>
    <row r="30" spans="1:11" x14ac:dyDescent="0.3">
      <c r="A30" s="34">
        <v>46101</v>
      </c>
      <c r="B30">
        <v>6130</v>
      </c>
      <c r="C30">
        <v>8314</v>
      </c>
      <c r="D30">
        <v>3852</v>
      </c>
      <c r="E30">
        <v>21624</v>
      </c>
      <c r="F30">
        <v>63</v>
      </c>
      <c r="G30">
        <v>210</v>
      </c>
      <c r="H30">
        <v>607</v>
      </c>
      <c r="I30">
        <v>0</v>
      </c>
      <c r="J30">
        <v>0</v>
      </c>
      <c r="K30" t="s">
        <v>36</v>
      </c>
    </row>
    <row r="31" spans="1:11" x14ac:dyDescent="0.3">
      <c r="A31" s="34">
        <v>46102</v>
      </c>
      <c r="B31">
        <v>5729</v>
      </c>
      <c r="C31">
        <v>8362</v>
      </c>
      <c r="D31">
        <v>3562</v>
      </c>
      <c r="E31">
        <v>20584</v>
      </c>
      <c r="F31">
        <v>66</v>
      </c>
      <c r="G31">
        <v>205</v>
      </c>
      <c r="H31">
        <v>563</v>
      </c>
      <c r="I31">
        <v>0</v>
      </c>
      <c r="J31">
        <v>0</v>
      </c>
      <c r="K31" t="s">
        <v>36</v>
      </c>
    </row>
    <row r="32" spans="1:11" x14ac:dyDescent="0.3">
      <c r="A32" s="34">
        <v>46103</v>
      </c>
      <c r="B32">
        <v>5351</v>
      </c>
      <c r="C32">
        <v>8380</v>
      </c>
      <c r="D32">
        <v>3325</v>
      </c>
      <c r="E32">
        <v>19808</v>
      </c>
      <c r="F32">
        <v>62</v>
      </c>
      <c r="G32">
        <v>202</v>
      </c>
      <c r="H32">
        <v>553</v>
      </c>
      <c r="I32">
        <v>0</v>
      </c>
      <c r="J32">
        <v>0</v>
      </c>
      <c r="K32" t="s">
        <v>36</v>
      </c>
    </row>
    <row r="33" spans="1:11" x14ac:dyDescent="0.3">
      <c r="A33" s="34">
        <v>46104</v>
      </c>
      <c r="B33">
        <v>4954</v>
      </c>
      <c r="C33">
        <v>8381</v>
      </c>
      <c r="D33">
        <v>3057</v>
      </c>
      <c r="E33">
        <v>19100</v>
      </c>
      <c r="F33">
        <v>66</v>
      </c>
      <c r="G33">
        <v>199</v>
      </c>
      <c r="H33">
        <v>534</v>
      </c>
      <c r="I33">
        <v>0</v>
      </c>
      <c r="J33">
        <v>0</v>
      </c>
      <c r="K33" t="s">
        <v>36</v>
      </c>
    </row>
    <row r="34" spans="1:11" x14ac:dyDescent="0.3">
      <c r="A34" s="34">
        <v>46105</v>
      </c>
      <c r="B34">
        <v>6346</v>
      </c>
      <c r="C34">
        <v>6929</v>
      </c>
      <c r="D34">
        <v>2683</v>
      </c>
      <c r="E34">
        <v>18400</v>
      </c>
      <c r="F34">
        <v>61</v>
      </c>
      <c r="G34">
        <v>182</v>
      </c>
      <c r="H34">
        <v>500</v>
      </c>
      <c r="I34">
        <v>0</v>
      </c>
      <c r="J34">
        <v>0</v>
      </c>
      <c r="K34" t="s">
        <v>36</v>
      </c>
    </row>
    <row r="35" spans="1:11" x14ac:dyDescent="0.3">
      <c r="A35" s="34">
        <v>46106</v>
      </c>
      <c r="B35">
        <v>2579</v>
      </c>
      <c r="C35">
        <v>6929</v>
      </c>
      <c r="D35">
        <v>2420</v>
      </c>
      <c r="E35">
        <v>17028</v>
      </c>
      <c r="F35">
        <v>61</v>
      </c>
      <c r="G35">
        <v>182</v>
      </c>
      <c r="H35">
        <v>500</v>
      </c>
      <c r="I35">
        <v>0</v>
      </c>
      <c r="J35">
        <v>0</v>
      </c>
      <c r="K35" t="s">
        <v>37</v>
      </c>
    </row>
    <row r="36" spans="1:11" x14ac:dyDescent="0.3">
      <c r="A36" s="34">
        <v>46107</v>
      </c>
      <c r="B36">
        <v>2182</v>
      </c>
      <c r="C36">
        <v>6929</v>
      </c>
      <c r="D36">
        <v>2218</v>
      </c>
      <c r="E36">
        <v>15383</v>
      </c>
      <c r="F36">
        <v>61</v>
      </c>
      <c r="G36">
        <v>182</v>
      </c>
      <c r="H36">
        <v>500</v>
      </c>
      <c r="I36">
        <v>0</v>
      </c>
      <c r="J36">
        <v>0</v>
      </c>
      <c r="K36" t="s">
        <v>37</v>
      </c>
    </row>
    <row r="37" spans="1:11" x14ac:dyDescent="0.3">
      <c r="A37" s="34">
        <v>46108</v>
      </c>
      <c r="B37">
        <v>3570</v>
      </c>
      <c r="C37">
        <v>5355</v>
      </c>
      <c r="D37">
        <v>2068</v>
      </c>
      <c r="E37">
        <v>14049</v>
      </c>
      <c r="F37">
        <v>61</v>
      </c>
      <c r="G37">
        <v>182</v>
      </c>
      <c r="H37">
        <v>500</v>
      </c>
      <c r="I37">
        <v>0</v>
      </c>
      <c r="J37">
        <v>0</v>
      </c>
      <c r="K37" t="s">
        <v>37</v>
      </c>
    </row>
    <row r="38" spans="1:11" x14ac:dyDescent="0.3">
      <c r="A38" s="34">
        <v>46109</v>
      </c>
      <c r="B38">
        <v>3372</v>
      </c>
      <c r="C38">
        <v>5355</v>
      </c>
      <c r="D38">
        <v>1959</v>
      </c>
      <c r="E38">
        <v>13460</v>
      </c>
      <c r="F38">
        <v>61</v>
      </c>
      <c r="G38">
        <v>182</v>
      </c>
      <c r="H38">
        <v>500</v>
      </c>
      <c r="I38">
        <v>0</v>
      </c>
      <c r="J38">
        <v>0</v>
      </c>
      <c r="K38" t="s">
        <v>37</v>
      </c>
    </row>
    <row r="39" spans="1:11" x14ac:dyDescent="0.3">
      <c r="A39" s="34">
        <v>46110</v>
      </c>
      <c r="B39">
        <v>3372</v>
      </c>
      <c r="C39">
        <v>5355</v>
      </c>
      <c r="D39">
        <v>1894</v>
      </c>
      <c r="E39">
        <v>13111</v>
      </c>
      <c r="F39">
        <v>61</v>
      </c>
      <c r="G39">
        <v>182</v>
      </c>
      <c r="H39">
        <v>500</v>
      </c>
      <c r="I39">
        <v>0</v>
      </c>
      <c r="J39">
        <v>0</v>
      </c>
      <c r="K39" t="s">
        <v>37</v>
      </c>
    </row>
    <row r="40" spans="1:11" x14ac:dyDescent="0.3">
      <c r="A40" s="34">
        <v>46111</v>
      </c>
      <c r="B40">
        <v>3372</v>
      </c>
      <c r="C40">
        <v>5355</v>
      </c>
      <c r="D40">
        <v>1894</v>
      </c>
      <c r="E40">
        <v>12833</v>
      </c>
      <c r="F40">
        <v>61</v>
      </c>
      <c r="G40">
        <v>182</v>
      </c>
      <c r="H40">
        <v>500</v>
      </c>
      <c r="I40">
        <v>0</v>
      </c>
      <c r="J40">
        <v>0</v>
      </c>
      <c r="K40" t="s">
        <v>37</v>
      </c>
    </row>
    <row r="41" spans="1:11" x14ac:dyDescent="0.3">
      <c r="A41" s="34">
        <v>46112</v>
      </c>
      <c r="B41">
        <v>3174</v>
      </c>
      <c r="C41">
        <v>5355</v>
      </c>
      <c r="D41">
        <v>1894</v>
      </c>
      <c r="E41">
        <v>12668</v>
      </c>
      <c r="F41">
        <v>61</v>
      </c>
      <c r="G41">
        <v>182</v>
      </c>
      <c r="H41">
        <v>500</v>
      </c>
      <c r="I41">
        <v>0</v>
      </c>
      <c r="J41">
        <v>0</v>
      </c>
      <c r="K41" t="s">
        <v>37</v>
      </c>
    </row>
    <row r="42" spans="1:11" x14ac:dyDescent="0.3">
      <c r="A42" s="34">
        <v>46113</v>
      </c>
      <c r="B42">
        <v>1190</v>
      </c>
      <c r="C42">
        <v>5355</v>
      </c>
      <c r="D42">
        <v>2000</v>
      </c>
      <c r="E42">
        <v>12665</v>
      </c>
      <c r="F42">
        <v>61</v>
      </c>
      <c r="G42">
        <v>182</v>
      </c>
      <c r="H42">
        <v>500</v>
      </c>
      <c r="I42">
        <v>0</v>
      </c>
      <c r="J42">
        <v>0</v>
      </c>
      <c r="K42" t="s">
        <v>37</v>
      </c>
    </row>
    <row r="43" spans="1:11" x14ac:dyDescent="0.3">
      <c r="A43" s="34">
        <v>46114</v>
      </c>
      <c r="B43">
        <v>1190</v>
      </c>
      <c r="C43">
        <v>5355</v>
      </c>
      <c r="D43">
        <v>2000</v>
      </c>
      <c r="E43">
        <v>12975</v>
      </c>
      <c r="F43">
        <v>61</v>
      </c>
      <c r="G43">
        <v>182</v>
      </c>
      <c r="H43">
        <v>500</v>
      </c>
      <c r="I43">
        <v>0</v>
      </c>
      <c r="J43">
        <v>0</v>
      </c>
      <c r="K43" t="s">
        <v>37</v>
      </c>
    </row>
    <row r="44" spans="1:11" x14ac:dyDescent="0.3">
      <c r="A44" s="34">
        <v>46115</v>
      </c>
      <c r="B44">
        <v>1190</v>
      </c>
      <c r="C44">
        <v>5355</v>
      </c>
      <c r="D44">
        <v>2000</v>
      </c>
      <c r="E44">
        <v>13907</v>
      </c>
      <c r="F44">
        <v>61</v>
      </c>
      <c r="G44">
        <v>182</v>
      </c>
      <c r="H44">
        <v>500</v>
      </c>
      <c r="I44">
        <v>0</v>
      </c>
      <c r="J44">
        <v>0</v>
      </c>
      <c r="K44" t="s">
        <v>37</v>
      </c>
    </row>
    <row r="45" spans="1:11" x14ac:dyDescent="0.3">
      <c r="A45" s="34">
        <v>46116</v>
      </c>
      <c r="B45">
        <v>1190</v>
      </c>
      <c r="C45">
        <v>5355</v>
      </c>
      <c r="D45">
        <v>2000</v>
      </c>
      <c r="E45">
        <v>13000</v>
      </c>
      <c r="F45">
        <v>61</v>
      </c>
      <c r="G45">
        <v>182</v>
      </c>
      <c r="H45">
        <v>500</v>
      </c>
      <c r="I45">
        <v>0</v>
      </c>
      <c r="J45">
        <v>0</v>
      </c>
      <c r="K45" t="s">
        <v>37</v>
      </c>
    </row>
    <row r="46" spans="1:11" x14ac:dyDescent="0.3">
      <c r="A46" s="34">
        <v>46117</v>
      </c>
      <c r="B46">
        <v>1190</v>
      </c>
      <c r="C46">
        <v>5355</v>
      </c>
      <c r="D46">
        <v>2000</v>
      </c>
      <c r="E46">
        <v>12000</v>
      </c>
      <c r="F46">
        <v>61</v>
      </c>
      <c r="G46">
        <v>182</v>
      </c>
      <c r="H46">
        <v>500</v>
      </c>
      <c r="I46">
        <v>0</v>
      </c>
      <c r="J46">
        <v>0</v>
      </c>
      <c r="K46" t="s">
        <v>37</v>
      </c>
    </row>
    <row r="47" spans="1:11" x14ac:dyDescent="0.3">
      <c r="A47" s="34">
        <v>46118</v>
      </c>
      <c r="B47">
        <v>1190</v>
      </c>
      <c r="C47">
        <v>5355</v>
      </c>
      <c r="D47">
        <v>2000</v>
      </c>
      <c r="E47">
        <v>11000</v>
      </c>
      <c r="F47">
        <v>61</v>
      </c>
      <c r="G47">
        <v>182</v>
      </c>
      <c r="H47">
        <v>500</v>
      </c>
      <c r="I47">
        <v>0</v>
      </c>
      <c r="J47">
        <v>0</v>
      </c>
      <c r="K47" t="s">
        <v>37</v>
      </c>
    </row>
    <row r="48" spans="1:11" x14ac:dyDescent="0.3">
      <c r="A48" s="34">
        <v>46119</v>
      </c>
      <c r="B48">
        <v>1190</v>
      </c>
      <c r="C48">
        <v>5355</v>
      </c>
      <c r="D48">
        <v>2000</v>
      </c>
      <c r="E48">
        <v>10000</v>
      </c>
      <c r="F48">
        <v>61</v>
      </c>
      <c r="G48">
        <v>182</v>
      </c>
      <c r="H48">
        <v>500</v>
      </c>
      <c r="I48">
        <v>0</v>
      </c>
      <c r="J48">
        <v>0</v>
      </c>
      <c r="K48" t="s">
        <v>37</v>
      </c>
    </row>
    <row r="49" spans="1:11" x14ac:dyDescent="0.3">
      <c r="A49" s="34">
        <v>46120</v>
      </c>
      <c r="B49">
        <f>B48</f>
        <v>1190</v>
      </c>
      <c r="C49">
        <f t="shared" ref="C49:K56" si="0">C48</f>
        <v>5355</v>
      </c>
      <c r="D49">
        <f t="shared" si="0"/>
        <v>2000</v>
      </c>
      <c r="E49">
        <f t="shared" si="0"/>
        <v>10000</v>
      </c>
      <c r="F49">
        <f t="shared" si="0"/>
        <v>61</v>
      </c>
      <c r="G49">
        <f t="shared" si="0"/>
        <v>182</v>
      </c>
      <c r="H49">
        <f t="shared" si="0"/>
        <v>500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34">
        <v>46121</v>
      </c>
      <c r="B50">
        <f t="shared" ref="B50:B56" si="1">B49</f>
        <v>1190</v>
      </c>
      <c r="C50">
        <f t="shared" si="0"/>
        <v>5355</v>
      </c>
      <c r="D50">
        <f t="shared" si="0"/>
        <v>2000</v>
      </c>
      <c r="E50">
        <f t="shared" si="0"/>
        <v>10000</v>
      </c>
      <c r="F50">
        <f t="shared" si="0"/>
        <v>61</v>
      </c>
      <c r="G50">
        <f t="shared" si="0"/>
        <v>182</v>
      </c>
      <c r="H50">
        <f t="shared" si="0"/>
        <v>500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34">
        <v>46122</v>
      </c>
      <c r="B51">
        <f t="shared" si="1"/>
        <v>1190</v>
      </c>
      <c r="C51">
        <f t="shared" si="0"/>
        <v>5355</v>
      </c>
      <c r="D51">
        <f t="shared" si="0"/>
        <v>2000</v>
      </c>
      <c r="E51">
        <f t="shared" si="0"/>
        <v>10000</v>
      </c>
      <c r="F51">
        <f t="shared" si="0"/>
        <v>61</v>
      </c>
      <c r="G51">
        <f t="shared" si="0"/>
        <v>182</v>
      </c>
      <c r="H51">
        <f t="shared" si="0"/>
        <v>500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34">
        <v>46123</v>
      </c>
      <c r="B52">
        <f t="shared" si="1"/>
        <v>1190</v>
      </c>
      <c r="C52">
        <f t="shared" si="0"/>
        <v>5355</v>
      </c>
      <c r="D52">
        <f t="shared" si="0"/>
        <v>2000</v>
      </c>
      <c r="E52">
        <f t="shared" si="0"/>
        <v>10000</v>
      </c>
      <c r="F52">
        <f t="shared" si="0"/>
        <v>61</v>
      </c>
      <c r="G52">
        <f t="shared" si="0"/>
        <v>182</v>
      </c>
      <c r="H52">
        <f t="shared" si="0"/>
        <v>500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34">
        <v>46124</v>
      </c>
      <c r="B53">
        <f t="shared" si="1"/>
        <v>1190</v>
      </c>
      <c r="C53">
        <f t="shared" si="0"/>
        <v>5355</v>
      </c>
      <c r="D53">
        <f t="shared" si="0"/>
        <v>2000</v>
      </c>
      <c r="E53">
        <f t="shared" si="0"/>
        <v>10000</v>
      </c>
      <c r="F53">
        <f t="shared" si="0"/>
        <v>61</v>
      </c>
      <c r="G53">
        <f t="shared" si="0"/>
        <v>182</v>
      </c>
      <c r="H53">
        <f t="shared" si="0"/>
        <v>500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34">
        <v>46125</v>
      </c>
      <c r="B54">
        <f t="shared" si="1"/>
        <v>1190</v>
      </c>
      <c r="C54">
        <f t="shared" si="0"/>
        <v>5355</v>
      </c>
      <c r="D54">
        <f t="shared" si="0"/>
        <v>2000</v>
      </c>
      <c r="E54">
        <f t="shared" si="0"/>
        <v>10000</v>
      </c>
      <c r="F54">
        <f t="shared" si="0"/>
        <v>61</v>
      </c>
      <c r="G54">
        <f t="shared" si="0"/>
        <v>182</v>
      </c>
      <c r="H54">
        <f t="shared" si="0"/>
        <v>500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34">
        <v>46126</v>
      </c>
      <c r="B55">
        <f t="shared" si="1"/>
        <v>1190</v>
      </c>
      <c r="C55">
        <f t="shared" si="0"/>
        <v>5355</v>
      </c>
      <c r="D55">
        <f t="shared" si="0"/>
        <v>2000</v>
      </c>
      <c r="E55">
        <f t="shared" si="0"/>
        <v>10000</v>
      </c>
      <c r="F55">
        <f t="shared" si="0"/>
        <v>61</v>
      </c>
      <c r="G55">
        <f t="shared" si="0"/>
        <v>182</v>
      </c>
      <c r="H55">
        <f t="shared" si="0"/>
        <v>500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34">
        <v>46127</v>
      </c>
      <c r="B56">
        <f t="shared" si="1"/>
        <v>1190</v>
      </c>
      <c r="C56">
        <f t="shared" si="0"/>
        <v>5355</v>
      </c>
      <c r="D56">
        <f t="shared" si="0"/>
        <v>2000</v>
      </c>
      <c r="E56">
        <f t="shared" si="0"/>
        <v>10000</v>
      </c>
      <c r="F56">
        <f t="shared" si="0"/>
        <v>61</v>
      </c>
      <c r="G56">
        <f t="shared" si="0"/>
        <v>182</v>
      </c>
      <c r="H56">
        <f t="shared" si="0"/>
        <v>500</v>
      </c>
      <c r="I56">
        <f t="shared" si="0"/>
        <v>0</v>
      </c>
      <c r="J56">
        <f t="shared" si="0"/>
        <v>0</v>
      </c>
      <c r="K56" t="str">
        <f t="shared" si="0"/>
        <v>Forecasted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A91A-37E7-406C-9005-434A290DA6C3}">
  <sheetPr codeName="Sheet5"/>
  <dimension ref="A1:M56"/>
  <sheetViews>
    <sheetView zoomScale="140" zoomScaleNormal="140" workbookViewId="0">
      <pane xSplit="1" ySplit="3" topLeftCell="B41" activePane="bottomRight" state="frozen"/>
      <selection activeCell="C59" sqref="C59"/>
      <selection pane="topRight" activeCell="C59" sqref="C59"/>
      <selection pane="bottomLeft" activeCell="C59" sqref="C59"/>
      <selection pane="bottomRight" activeCell="J65" sqref="J65"/>
    </sheetView>
  </sheetViews>
  <sheetFormatPr defaultRowHeight="14.4" x14ac:dyDescent="0.3"/>
  <cols>
    <col min="1" max="1" width="10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46106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46075</v>
      </c>
      <c r="B4">
        <v>10903</v>
      </c>
      <c r="C4">
        <v>8380</v>
      </c>
      <c r="D4">
        <v>8415</v>
      </c>
      <c r="E4">
        <v>51392</v>
      </c>
      <c r="F4">
        <v>696</v>
      </c>
      <c r="G4">
        <v>279</v>
      </c>
      <c r="H4">
        <v>918</v>
      </c>
      <c r="I4">
        <v>0</v>
      </c>
      <c r="J4">
        <v>0</v>
      </c>
      <c r="K4" t="s">
        <v>36</v>
      </c>
    </row>
    <row r="5" spans="1:13" x14ac:dyDescent="0.3">
      <c r="A5" s="34">
        <v>46076</v>
      </c>
      <c r="B5">
        <v>10893</v>
      </c>
      <c r="C5">
        <v>8374</v>
      </c>
      <c r="D5">
        <v>8261</v>
      </c>
      <c r="E5">
        <v>50640</v>
      </c>
      <c r="F5">
        <v>701</v>
      </c>
      <c r="G5">
        <v>281</v>
      </c>
      <c r="H5">
        <v>830</v>
      </c>
      <c r="I5">
        <v>0</v>
      </c>
      <c r="J5">
        <v>0</v>
      </c>
      <c r="K5" t="s">
        <v>36</v>
      </c>
    </row>
    <row r="6" spans="1:13" x14ac:dyDescent="0.3">
      <c r="A6" s="34">
        <v>46077</v>
      </c>
      <c r="B6">
        <v>10701</v>
      </c>
      <c r="C6">
        <v>8399</v>
      </c>
      <c r="D6">
        <v>8270</v>
      </c>
      <c r="E6">
        <v>49428</v>
      </c>
      <c r="F6">
        <v>703</v>
      </c>
      <c r="G6">
        <v>281</v>
      </c>
      <c r="H6">
        <v>823</v>
      </c>
      <c r="I6">
        <v>0</v>
      </c>
      <c r="J6">
        <v>0</v>
      </c>
      <c r="K6" t="s">
        <v>36</v>
      </c>
    </row>
    <row r="7" spans="1:13" x14ac:dyDescent="0.3">
      <c r="A7" s="34">
        <v>46078</v>
      </c>
      <c r="B7">
        <v>10495</v>
      </c>
      <c r="C7">
        <v>8437</v>
      </c>
      <c r="D7">
        <v>8057</v>
      </c>
      <c r="E7">
        <v>47908</v>
      </c>
      <c r="F7">
        <v>577</v>
      </c>
      <c r="G7">
        <v>299</v>
      </c>
      <c r="H7">
        <v>1320</v>
      </c>
      <c r="I7">
        <v>0</v>
      </c>
      <c r="J7">
        <v>0</v>
      </c>
      <c r="K7" t="s">
        <v>36</v>
      </c>
    </row>
    <row r="8" spans="1:13" x14ac:dyDescent="0.3">
      <c r="A8" s="34">
        <v>46079</v>
      </c>
      <c r="B8">
        <v>10295</v>
      </c>
      <c r="C8">
        <v>8413</v>
      </c>
      <c r="D8">
        <v>7762</v>
      </c>
      <c r="E8">
        <v>51892</v>
      </c>
      <c r="F8">
        <v>446</v>
      </c>
      <c r="G8">
        <v>298</v>
      </c>
      <c r="H8">
        <v>1979</v>
      </c>
      <c r="I8">
        <v>0</v>
      </c>
      <c r="J8">
        <v>0</v>
      </c>
      <c r="K8" t="s">
        <v>36</v>
      </c>
    </row>
    <row r="9" spans="1:13" x14ac:dyDescent="0.3">
      <c r="A9" s="34">
        <v>46080</v>
      </c>
      <c r="B9">
        <v>9912</v>
      </c>
      <c r="C9">
        <v>8409</v>
      </c>
      <c r="D9">
        <v>7473</v>
      </c>
      <c r="E9">
        <v>58456</v>
      </c>
      <c r="F9">
        <v>343</v>
      </c>
      <c r="G9">
        <v>299</v>
      </c>
      <c r="H9">
        <v>2079</v>
      </c>
      <c r="I9">
        <v>0</v>
      </c>
      <c r="J9">
        <v>3106</v>
      </c>
      <c r="K9" t="s">
        <v>36</v>
      </c>
    </row>
    <row r="10" spans="1:13" x14ac:dyDescent="0.3">
      <c r="A10" s="34">
        <v>46081</v>
      </c>
      <c r="B10">
        <v>9714</v>
      </c>
      <c r="C10">
        <v>8428</v>
      </c>
      <c r="D10">
        <v>7166</v>
      </c>
      <c r="E10">
        <v>63664</v>
      </c>
      <c r="F10">
        <v>296</v>
      </c>
      <c r="G10">
        <v>332</v>
      </c>
      <c r="H10">
        <v>2239</v>
      </c>
      <c r="I10">
        <v>0</v>
      </c>
      <c r="J10">
        <v>21886</v>
      </c>
      <c r="K10" t="s">
        <v>36</v>
      </c>
    </row>
    <row r="11" spans="1:13" x14ac:dyDescent="0.3">
      <c r="A11" s="34">
        <v>46082</v>
      </c>
      <c r="B11">
        <v>9333</v>
      </c>
      <c r="C11">
        <v>8434</v>
      </c>
      <c r="D11">
        <v>6944</v>
      </c>
      <c r="E11">
        <v>64696</v>
      </c>
      <c r="F11">
        <v>297</v>
      </c>
      <c r="G11">
        <v>289</v>
      </c>
      <c r="H11">
        <v>2379</v>
      </c>
      <c r="I11">
        <v>0</v>
      </c>
      <c r="J11">
        <v>17424</v>
      </c>
      <c r="K11" t="s">
        <v>36</v>
      </c>
    </row>
    <row r="12" spans="1:13" x14ac:dyDescent="0.3">
      <c r="A12" s="34">
        <v>46083</v>
      </c>
      <c r="B12">
        <v>8916</v>
      </c>
      <c r="C12">
        <v>8425</v>
      </c>
      <c r="D12">
        <v>6779</v>
      </c>
      <c r="E12">
        <v>63016</v>
      </c>
      <c r="F12">
        <v>248</v>
      </c>
      <c r="G12">
        <v>338</v>
      </c>
      <c r="H12">
        <v>2263</v>
      </c>
      <c r="I12">
        <v>0</v>
      </c>
      <c r="J12">
        <v>7377</v>
      </c>
      <c r="K12" t="s">
        <v>36</v>
      </c>
    </row>
    <row r="13" spans="1:13" x14ac:dyDescent="0.3">
      <c r="A13" s="34">
        <v>46084</v>
      </c>
      <c r="B13">
        <v>8908</v>
      </c>
      <c r="C13">
        <v>8418</v>
      </c>
      <c r="D13">
        <v>6611</v>
      </c>
      <c r="E13">
        <v>60568</v>
      </c>
      <c r="F13">
        <v>204</v>
      </c>
      <c r="G13">
        <v>317</v>
      </c>
      <c r="H13">
        <v>1994</v>
      </c>
      <c r="I13">
        <v>0</v>
      </c>
      <c r="J13">
        <v>796</v>
      </c>
      <c r="K13" t="s">
        <v>36</v>
      </c>
    </row>
    <row r="14" spans="1:13" x14ac:dyDescent="0.3">
      <c r="A14" s="34">
        <v>46085</v>
      </c>
      <c r="B14">
        <v>8707</v>
      </c>
      <c r="C14">
        <v>8411</v>
      </c>
      <c r="D14">
        <v>6389</v>
      </c>
      <c r="E14">
        <v>57779</v>
      </c>
      <c r="F14">
        <v>148</v>
      </c>
      <c r="G14">
        <v>328</v>
      </c>
      <c r="H14">
        <v>1744</v>
      </c>
      <c r="I14">
        <v>0</v>
      </c>
      <c r="J14">
        <v>0</v>
      </c>
      <c r="K14" t="s">
        <v>36</v>
      </c>
    </row>
    <row r="15" spans="1:13" x14ac:dyDescent="0.3">
      <c r="A15" s="34">
        <v>46086</v>
      </c>
      <c r="B15">
        <v>8523</v>
      </c>
      <c r="C15">
        <v>8372</v>
      </c>
      <c r="D15">
        <v>6215</v>
      </c>
      <c r="E15">
        <v>54132</v>
      </c>
      <c r="F15">
        <v>99</v>
      </c>
      <c r="G15">
        <v>359</v>
      </c>
      <c r="H15">
        <v>1555</v>
      </c>
      <c r="I15">
        <v>0</v>
      </c>
      <c r="J15">
        <v>0</v>
      </c>
      <c r="K15" t="s">
        <v>36</v>
      </c>
    </row>
    <row r="16" spans="1:13" x14ac:dyDescent="0.3">
      <c r="A16" s="34">
        <v>46087</v>
      </c>
      <c r="B16">
        <v>8329</v>
      </c>
      <c r="C16">
        <v>8351</v>
      </c>
      <c r="D16">
        <v>6106</v>
      </c>
      <c r="E16">
        <v>50104</v>
      </c>
      <c r="F16">
        <v>104</v>
      </c>
      <c r="G16">
        <v>359</v>
      </c>
      <c r="H16">
        <v>1365</v>
      </c>
      <c r="I16">
        <v>0</v>
      </c>
      <c r="J16">
        <v>0</v>
      </c>
      <c r="K16" t="s">
        <v>36</v>
      </c>
    </row>
    <row r="17" spans="1:11" x14ac:dyDescent="0.3">
      <c r="A17" s="34">
        <v>46088</v>
      </c>
      <c r="B17">
        <v>8121</v>
      </c>
      <c r="C17">
        <v>8367</v>
      </c>
      <c r="D17">
        <v>5683</v>
      </c>
      <c r="E17">
        <v>46516</v>
      </c>
      <c r="F17">
        <v>105</v>
      </c>
      <c r="G17">
        <v>352</v>
      </c>
      <c r="H17">
        <v>1207</v>
      </c>
      <c r="I17">
        <v>0</v>
      </c>
      <c r="J17">
        <v>0</v>
      </c>
      <c r="K17" t="s">
        <v>36</v>
      </c>
    </row>
    <row r="18" spans="1:11" x14ac:dyDescent="0.3">
      <c r="A18" s="34">
        <v>46089</v>
      </c>
      <c r="B18">
        <v>7409</v>
      </c>
      <c r="C18">
        <v>8024</v>
      </c>
      <c r="D18">
        <v>5345</v>
      </c>
      <c r="E18">
        <v>43272</v>
      </c>
      <c r="F18">
        <v>112</v>
      </c>
      <c r="G18">
        <v>353</v>
      </c>
      <c r="H18">
        <v>1108</v>
      </c>
      <c r="I18">
        <v>0</v>
      </c>
      <c r="J18">
        <v>0</v>
      </c>
      <c r="K18" t="s">
        <v>36</v>
      </c>
    </row>
    <row r="19" spans="1:11" x14ac:dyDescent="0.3">
      <c r="A19" s="34">
        <v>46090</v>
      </c>
      <c r="B19">
        <v>7120</v>
      </c>
      <c r="C19">
        <v>8399</v>
      </c>
      <c r="D19">
        <v>5186</v>
      </c>
      <c r="E19">
        <v>40656</v>
      </c>
      <c r="F19">
        <v>114</v>
      </c>
      <c r="G19">
        <v>357</v>
      </c>
      <c r="H19">
        <v>1065</v>
      </c>
      <c r="I19">
        <v>0</v>
      </c>
      <c r="J19">
        <v>0</v>
      </c>
      <c r="K19" t="s">
        <v>36</v>
      </c>
    </row>
    <row r="20" spans="1:11" x14ac:dyDescent="0.3">
      <c r="A20" s="34">
        <v>46091</v>
      </c>
      <c r="B20">
        <v>7321</v>
      </c>
      <c r="C20">
        <v>8397</v>
      </c>
      <c r="D20">
        <v>5019</v>
      </c>
      <c r="E20">
        <v>39212</v>
      </c>
      <c r="F20">
        <v>78</v>
      </c>
      <c r="G20">
        <v>342</v>
      </c>
      <c r="H20">
        <v>1011</v>
      </c>
      <c r="I20">
        <v>0</v>
      </c>
      <c r="J20">
        <v>0</v>
      </c>
      <c r="K20" t="s">
        <v>36</v>
      </c>
    </row>
    <row r="21" spans="1:11" x14ac:dyDescent="0.3">
      <c r="A21" s="34">
        <v>46092</v>
      </c>
      <c r="B21">
        <v>6928</v>
      </c>
      <c r="C21">
        <v>8361</v>
      </c>
      <c r="D21">
        <v>4919</v>
      </c>
      <c r="E21">
        <v>37076</v>
      </c>
      <c r="F21">
        <v>54</v>
      </c>
      <c r="G21">
        <v>342</v>
      </c>
      <c r="H21">
        <v>949</v>
      </c>
      <c r="I21">
        <v>0</v>
      </c>
      <c r="J21">
        <v>0</v>
      </c>
      <c r="K21" t="s">
        <v>36</v>
      </c>
    </row>
    <row r="22" spans="1:11" x14ac:dyDescent="0.3">
      <c r="A22" s="34">
        <v>46093</v>
      </c>
      <c r="B22">
        <v>6942</v>
      </c>
      <c r="C22">
        <v>8353</v>
      </c>
      <c r="D22">
        <v>4792</v>
      </c>
      <c r="E22">
        <v>34136</v>
      </c>
      <c r="F22">
        <v>50</v>
      </c>
      <c r="G22">
        <v>331</v>
      </c>
      <c r="H22">
        <v>881</v>
      </c>
      <c r="I22">
        <v>0</v>
      </c>
      <c r="J22">
        <v>0</v>
      </c>
      <c r="K22" t="s">
        <v>36</v>
      </c>
    </row>
    <row r="23" spans="1:11" x14ac:dyDescent="0.3">
      <c r="A23" s="34">
        <v>46094</v>
      </c>
      <c r="B23">
        <v>6740</v>
      </c>
      <c r="C23">
        <v>8370</v>
      </c>
      <c r="D23">
        <v>4728</v>
      </c>
      <c r="E23">
        <v>30884</v>
      </c>
      <c r="F23">
        <v>54</v>
      </c>
      <c r="G23">
        <v>335</v>
      </c>
      <c r="H23">
        <v>839</v>
      </c>
      <c r="I23">
        <v>0</v>
      </c>
      <c r="J23">
        <v>0</v>
      </c>
      <c r="K23" t="s">
        <v>36</v>
      </c>
    </row>
    <row r="24" spans="1:11" x14ac:dyDescent="0.3">
      <c r="A24" s="34">
        <v>46095</v>
      </c>
      <c r="B24">
        <v>6528</v>
      </c>
      <c r="C24">
        <v>8378</v>
      </c>
      <c r="D24">
        <v>4813</v>
      </c>
      <c r="E24">
        <v>28720</v>
      </c>
      <c r="F24">
        <v>60</v>
      </c>
      <c r="G24">
        <v>330</v>
      </c>
      <c r="H24">
        <v>800</v>
      </c>
      <c r="I24">
        <v>0</v>
      </c>
      <c r="J24">
        <v>0</v>
      </c>
      <c r="K24" t="s">
        <v>36</v>
      </c>
    </row>
    <row r="25" spans="1:11" x14ac:dyDescent="0.3">
      <c r="A25" s="34">
        <v>46096</v>
      </c>
      <c r="B25">
        <v>6536</v>
      </c>
      <c r="C25">
        <v>8359</v>
      </c>
      <c r="D25">
        <v>4885</v>
      </c>
      <c r="E25">
        <v>27508</v>
      </c>
      <c r="F25">
        <v>63</v>
      </c>
      <c r="G25">
        <v>294</v>
      </c>
      <c r="H25">
        <v>755</v>
      </c>
      <c r="I25">
        <v>0</v>
      </c>
      <c r="J25">
        <v>0</v>
      </c>
      <c r="K25" t="s">
        <v>36</v>
      </c>
    </row>
    <row r="26" spans="1:11" x14ac:dyDescent="0.3">
      <c r="A26" s="34">
        <v>46097</v>
      </c>
      <c r="B26">
        <v>6005</v>
      </c>
      <c r="C26">
        <v>8343</v>
      </c>
      <c r="D26">
        <v>4883</v>
      </c>
      <c r="E26">
        <v>26652</v>
      </c>
      <c r="F26">
        <v>58</v>
      </c>
      <c r="G26">
        <v>236</v>
      </c>
      <c r="H26">
        <v>723</v>
      </c>
      <c r="I26">
        <v>0</v>
      </c>
      <c r="J26">
        <v>0</v>
      </c>
      <c r="K26" t="s">
        <v>36</v>
      </c>
    </row>
    <row r="27" spans="1:11" x14ac:dyDescent="0.3">
      <c r="A27" s="34">
        <v>46098</v>
      </c>
      <c r="B27">
        <v>6736</v>
      </c>
      <c r="C27">
        <v>8358</v>
      </c>
      <c r="D27">
        <v>4741</v>
      </c>
      <c r="E27">
        <v>25584</v>
      </c>
      <c r="F27">
        <v>63</v>
      </c>
      <c r="G27">
        <v>226</v>
      </c>
      <c r="H27">
        <v>708</v>
      </c>
      <c r="I27">
        <v>0</v>
      </c>
      <c r="J27">
        <v>0</v>
      </c>
      <c r="K27" t="s">
        <v>36</v>
      </c>
    </row>
    <row r="28" spans="1:11" x14ac:dyDescent="0.3">
      <c r="A28" s="34">
        <v>46099</v>
      </c>
      <c r="B28">
        <v>6538</v>
      </c>
      <c r="C28">
        <v>8343</v>
      </c>
      <c r="D28">
        <v>4593</v>
      </c>
      <c r="E28">
        <v>24200</v>
      </c>
      <c r="F28">
        <v>58</v>
      </c>
      <c r="G28">
        <v>227</v>
      </c>
      <c r="H28">
        <v>651</v>
      </c>
      <c r="I28">
        <v>0</v>
      </c>
      <c r="J28">
        <v>0</v>
      </c>
      <c r="K28" t="s">
        <v>36</v>
      </c>
    </row>
    <row r="29" spans="1:11" x14ac:dyDescent="0.3">
      <c r="A29" s="34">
        <v>46100</v>
      </c>
      <c r="B29">
        <v>585</v>
      </c>
      <c r="C29">
        <v>1677</v>
      </c>
      <c r="D29">
        <v>4214</v>
      </c>
      <c r="E29">
        <v>22556</v>
      </c>
      <c r="F29">
        <v>62</v>
      </c>
      <c r="G29">
        <v>226</v>
      </c>
      <c r="H29">
        <v>620</v>
      </c>
      <c r="I29">
        <v>0</v>
      </c>
      <c r="J29">
        <v>0</v>
      </c>
      <c r="K29" t="s">
        <v>36</v>
      </c>
    </row>
    <row r="30" spans="1:11" x14ac:dyDescent="0.3">
      <c r="A30" s="34">
        <v>46101</v>
      </c>
      <c r="B30">
        <v>6130</v>
      </c>
      <c r="C30">
        <v>8314</v>
      </c>
      <c r="D30">
        <v>3852</v>
      </c>
      <c r="E30">
        <v>21624</v>
      </c>
      <c r="F30">
        <v>63</v>
      </c>
      <c r="G30">
        <v>210</v>
      </c>
      <c r="H30">
        <v>607</v>
      </c>
      <c r="I30">
        <v>0</v>
      </c>
      <c r="J30">
        <v>0</v>
      </c>
      <c r="K30" t="s">
        <v>36</v>
      </c>
    </row>
    <row r="31" spans="1:11" x14ac:dyDescent="0.3">
      <c r="A31" s="34">
        <v>46102</v>
      </c>
      <c r="B31">
        <v>5729</v>
      </c>
      <c r="C31">
        <v>8362</v>
      </c>
      <c r="D31">
        <v>3562</v>
      </c>
      <c r="E31">
        <v>20584</v>
      </c>
      <c r="F31">
        <v>66</v>
      </c>
      <c r="G31">
        <v>205</v>
      </c>
      <c r="H31">
        <v>563</v>
      </c>
      <c r="I31">
        <v>0</v>
      </c>
      <c r="J31">
        <v>0</v>
      </c>
      <c r="K31" t="s">
        <v>36</v>
      </c>
    </row>
    <row r="32" spans="1:11" x14ac:dyDescent="0.3">
      <c r="A32" s="34">
        <v>46103</v>
      </c>
      <c r="B32">
        <v>5351</v>
      </c>
      <c r="C32">
        <v>8380</v>
      </c>
      <c r="D32">
        <v>3325</v>
      </c>
      <c r="E32">
        <v>19808</v>
      </c>
      <c r="F32">
        <v>62</v>
      </c>
      <c r="G32">
        <v>202</v>
      </c>
      <c r="H32">
        <v>553</v>
      </c>
      <c r="I32">
        <v>0</v>
      </c>
      <c r="J32">
        <v>0</v>
      </c>
      <c r="K32" t="s">
        <v>36</v>
      </c>
    </row>
    <row r="33" spans="1:11" x14ac:dyDescent="0.3">
      <c r="A33" s="34">
        <v>46104</v>
      </c>
      <c r="B33">
        <v>4954</v>
      </c>
      <c r="C33">
        <v>8381</v>
      </c>
      <c r="D33">
        <v>3057</v>
      </c>
      <c r="E33">
        <v>19100</v>
      </c>
      <c r="F33">
        <v>66</v>
      </c>
      <c r="G33">
        <v>199</v>
      </c>
      <c r="H33">
        <v>534</v>
      </c>
      <c r="I33">
        <v>0</v>
      </c>
      <c r="J33">
        <v>0</v>
      </c>
      <c r="K33" t="s">
        <v>36</v>
      </c>
    </row>
    <row r="34" spans="1:11" x14ac:dyDescent="0.3">
      <c r="A34" s="34">
        <v>46105</v>
      </c>
      <c r="B34">
        <v>6346</v>
      </c>
      <c r="C34">
        <v>6929</v>
      </c>
      <c r="D34">
        <v>2683</v>
      </c>
      <c r="E34">
        <v>18400</v>
      </c>
      <c r="F34">
        <v>61</v>
      </c>
      <c r="G34">
        <v>182</v>
      </c>
      <c r="H34">
        <v>500</v>
      </c>
      <c r="I34">
        <v>0</v>
      </c>
      <c r="J34">
        <v>0</v>
      </c>
      <c r="K34" t="s">
        <v>36</v>
      </c>
    </row>
    <row r="35" spans="1:11" x14ac:dyDescent="0.3">
      <c r="A35" s="34">
        <v>46106</v>
      </c>
      <c r="B35">
        <v>5752</v>
      </c>
      <c r="C35">
        <v>6929</v>
      </c>
      <c r="D35">
        <v>2420</v>
      </c>
      <c r="E35">
        <v>17028</v>
      </c>
      <c r="F35">
        <v>61</v>
      </c>
      <c r="G35">
        <v>182</v>
      </c>
      <c r="H35">
        <v>500</v>
      </c>
      <c r="I35">
        <v>0</v>
      </c>
      <c r="J35">
        <v>0</v>
      </c>
      <c r="K35" t="s">
        <v>37</v>
      </c>
    </row>
    <row r="36" spans="1:11" x14ac:dyDescent="0.3">
      <c r="A36" s="34">
        <v>46107</v>
      </c>
      <c r="B36">
        <v>5554</v>
      </c>
      <c r="C36">
        <v>6929</v>
      </c>
      <c r="D36">
        <v>2218</v>
      </c>
      <c r="E36">
        <v>15383</v>
      </c>
      <c r="F36">
        <v>61</v>
      </c>
      <c r="G36">
        <v>182</v>
      </c>
      <c r="H36">
        <v>500</v>
      </c>
      <c r="I36">
        <v>0</v>
      </c>
      <c r="J36">
        <v>0</v>
      </c>
      <c r="K36" t="s">
        <v>37</v>
      </c>
    </row>
    <row r="37" spans="1:11" x14ac:dyDescent="0.3">
      <c r="A37" s="34">
        <v>46108</v>
      </c>
      <c r="B37">
        <v>5355</v>
      </c>
      <c r="C37">
        <v>6942</v>
      </c>
      <c r="D37">
        <v>2068</v>
      </c>
      <c r="E37">
        <v>14049</v>
      </c>
      <c r="F37">
        <v>61</v>
      </c>
      <c r="G37">
        <v>182</v>
      </c>
      <c r="H37">
        <v>500</v>
      </c>
      <c r="I37">
        <v>0</v>
      </c>
      <c r="J37">
        <v>0</v>
      </c>
      <c r="K37" t="s">
        <v>37</v>
      </c>
    </row>
    <row r="38" spans="1:11" x14ac:dyDescent="0.3">
      <c r="A38" s="34">
        <v>46109</v>
      </c>
      <c r="B38">
        <v>5157</v>
      </c>
      <c r="C38">
        <v>6942</v>
      </c>
      <c r="D38">
        <v>1959</v>
      </c>
      <c r="E38">
        <v>13460</v>
      </c>
      <c r="F38">
        <v>61</v>
      </c>
      <c r="G38">
        <v>182</v>
      </c>
      <c r="H38">
        <v>500</v>
      </c>
      <c r="I38">
        <v>0</v>
      </c>
      <c r="J38">
        <v>0</v>
      </c>
      <c r="K38" t="s">
        <v>37</v>
      </c>
    </row>
    <row r="39" spans="1:11" x14ac:dyDescent="0.3">
      <c r="A39" s="34">
        <v>46110</v>
      </c>
      <c r="B39">
        <v>4959</v>
      </c>
      <c r="C39">
        <v>6942</v>
      </c>
      <c r="D39">
        <v>1894</v>
      </c>
      <c r="E39">
        <v>13111</v>
      </c>
      <c r="F39">
        <v>61</v>
      </c>
      <c r="G39">
        <v>182</v>
      </c>
      <c r="H39">
        <v>500</v>
      </c>
      <c r="I39">
        <v>0</v>
      </c>
      <c r="J39">
        <v>0</v>
      </c>
      <c r="K39" t="s">
        <v>37</v>
      </c>
    </row>
    <row r="40" spans="1:11" x14ac:dyDescent="0.3">
      <c r="A40" s="34">
        <v>46111</v>
      </c>
      <c r="B40">
        <v>4959</v>
      </c>
      <c r="C40">
        <v>6942</v>
      </c>
      <c r="D40">
        <v>1894</v>
      </c>
      <c r="E40">
        <v>12833</v>
      </c>
      <c r="F40">
        <v>61</v>
      </c>
      <c r="G40">
        <v>182</v>
      </c>
      <c r="H40">
        <v>500</v>
      </c>
      <c r="I40">
        <v>0</v>
      </c>
      <c r="J40">
        <v>0</v>
      </c>
      <c r="K40" t="s">
        <v>37</v>
      </c>
    </row>
    <row r="41" spans="1:11" x14ac:dyDescent="0.3">
      <c r="A41" s="34">
        <v>46112</v>
      </c>
      <c r="B41">
        <v>4959</v>
      </c>
      <c r="C41">
        <v>6942</v>
      </c>
      <c r="D41">
        <v>1894</v>
      </c>
      <c r="E41">
        <v>12668</v>
      </c>
      <c r="F41">
        <v>61</v>
      </c>
      <c r="G41">
        <v>182</v>
      </c>
      <c r="H41">
        <v>500</v>
      </c>
      <c r="I41">
        <v>0</v>
      </c>
      <c r="J41">
        <v>0</v>
      </c>
      <c r="K41" t="s">
        <v>37</v>
      </c>
    </row>
    <row r="42" spans="1:11" x14ac:dyDescent="0.3">
      <c r="A42" s="34">
        <v>46113</v>
      </c>
      <c r="B42">
        <v>1190</v>
      </c>
      <c r="C42">
        <v>6942</v>
      </c>
      <c r="D42">
        <v>2000</v>
      </c>
      <c r="E42">
        <v>12665</v>
      </c>
      <c r="F42">
        <v>61</v>
      </c>
      <c r="G42">
        <v>182</v>
      </c>
      <c r="H42">
        <v>500</v>
      </c>
      <c r="I42">
        <v>0</v>
      </c>
      <c r="J42">
        <v>0</v>
      </c>
      <c r="K42" t="s">
        <v>37</v>
      </c>
    </row>
    <row r="43" spans="1:11" x14ac:dyDescent="0.3">
      <c r="A43" s="34">
        <v>46114</v>
      </c>
      <c r="B43">
        <v>1190</v>
      </c>
      <c r="C43">
        <v>6942</v>
      </c>
      <c r="D43">
        <v>2000</v>
      </c>
      <c r="E43">
        <v>12975</v>
      </c>
      <c r="F43">
        <v>61</v>
      </c>
      <c r="G43">
        <v>182</v>
      </c>
      <c r="H43">
        <v>500</v>
      </c>
      <c r="I43">
        <v>0</v>
      </c>
      <c r="J43">
        <v>0</v>
      </c>
      <c r="K43" t="s">
        <v>37</v>
      </c>
    </row>
    <row r="44" spans="1:11" x14ac:dyDescent="0.3">
      <c r="A44" s="34">
        <v>46115</v>
      </c>
      <c r="B44">
        <v>1190</v>
      </c>
      <c r="C44">
        <v>6942</v>
      </c>
      <c r="D44">
        <v>2000</v>
      </c>
      <c r="E44">
        <v>13907</v>
      </c>
      <c r="F44">
        <v>61</v>
      </c>
      <c r="G44">
        <v>182</v>
      </c>
      <c r="H44">
        <v>500</v>
      </c>
      <c r="I44">
        <v>0</v>
      </c>
      <c r="J44">
        <v>0</v>
      </c>
      <c r="K44" t="s">
        <v>37</v>
      </c>
    </row>
    <row r="45" spans="1:11" x14ac:dyDescent="0.3">
      <c r="A45" s="34">
        <v>46116</v>
      </c>
      <c r="B45">
        <v>1190</v>
      </c>
      <c r="C45">
        <v>6942</v>
      </c>
      <c r="D45">
        <v>2000</v>
      </c>
      <c r="E45">
        <v>13000</v>
      </c>
      <c r="F45">
        <v>61</v>
      </c>
      <c r="G45">
        <v>182</v>
      </c>
      <c r="H45">
        <v>500</v>
      </c>
      <c r="I45">
        <v>0</v>
      </c>
      <c r="J45">
        <v>0</v>
      </c>
      <c r="K45" t="s">
        <v>37</v>
      </c>
    </row>
    <row r="46" spans="1:11" x14ac:dyDescent="0.3">
      <c r="A46" s="34">
        <v>46117</v>
      </c>
      <c r="B46">
        <v>1190</v>
      </c>
      <c r="C46">
        <v>6942</v>
      </c>
      <c r="D46">
        <v>2000</v>
      </c>
      <c r="E46">
        <v>12000</v>
      </c>
      <c r="F46">
        <v>61</v>
      </c>
      <c r="G46">
        <v>182</v>
      </c>
      <c r="H46">
        <v>500</v>
      </c>
      <c r="I46">
        <v>0</v>
      </c>
      <c r="J46">
        <v>0</v>
      </c>
      <c r="K46" t="s">
        <v>37</v>
      </c>
    </row>
    <row r="47" spans="1:11" x14ac:dyDescent="0.3">
      <c r="A47" s="34">
        <v>46118</v>
      </c>
      <c r="B47">
        <v>1190</v>
      </c>
      <c r="C47">
        <v>6942</v>
      </c>
      <c r="D47">
        <v>2000</v>
      </c>
      <c r="E47">
        <v>11000</v>
      </c>
      <c r="F47">
        <v>61</v>
      </c>
      <c r="G47">
        <v>182</v>
      </c>
      <c r="H47">
        <v>500</v>
      </c>
      <c r="I47">
        <v>0</v>
      </c>
      <c r="J47">
        <v>0</v>
      </c>
      <c r="K47" t="s">
        <v>37</v>
      </c>
    </row>
    <row r="48" spans="1:11" x14ac:dyDescent="0.3">
      <c r="A48" s="34">
        <v>46119</v>
      </c>
      <c r="B48">
        <v>1190</v>
      </c>
      <c r="C48">
        <v>6942</v>
      </c>
      <c r="D48">
        <v>2000</v>
      </c>
      <c r="E48">
        <v>10000</v>
      </c>
      <c r="F48">
        <v>61</v>
      </c>
      <c r="G48">
        <v>182</v>
      </c>
      <c r="H48">
        <v>500</v>
      </c>
      <c r="I48">
        <v>0</v>
      </c>
      <c r="J48">
        <v>0</v>
      </c>
      <c r="K48" t="s">
        <v>37</v>
      </c>
    </row>
    <row r="49" spans="1:11" x14ac:dyDescent="0.3">
      <c r="A49" s="34">
        <v>46120</v>
      </c>
      <c r="B49">
        <f>B48</f>
        <v>1190</v>
      </c>
      <c r="C49">
        <f t="shared" ref="C49:K56" si="0">C48</f>
        <v>6942</v>
      </c>
      <c r="D49">
        <f t="shared" si="0"/>
        <v>2000</v>
      </c>
      <c r="E49">
        <f t="shared" si="0"/>
        <v>10000</v>
      </c>
      <c r="F49">
        <f t="shared" si="0"/>
        <v>61</v>
      </c>
      <c r="G49">
        <f t="shared" si="0"/>
        <v>182</v>
      </c>
      <c r="H49">
        <f t="shared" si="0"/>
        <v>500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34">
        <v>46121</v>
      </c>
      <c r="B50">
        <f t="shared" ref="B50:B56" si="1">B49</f>
        <v>1190</v>
      </c>
      <c r="C50">
        <f t="shared" si="0"/>
        <v>6942</v>
      </c>
      <c r="D50">
        <f t="shared" si="0"/>
        <v>2000</v>
      </c>
      <c r="E50">
        <f t="shared" si="0"/>
        <v>10000</v>
      </c>
      <c r="F50">
        <f t="shared" si="0"/>
        <v>61</v>
      </c>
      <c r="G50">
        <f t="shared" si="0"/>
        <v>182</v>
      </c>
      <c r="H50">
        <f t="shared" si="0"/>
        <v>500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34">
        <v>46122</v>
      </c>
      <c r="B51">
        <f t="shared" si="1"/>
        <v>1190</v>
      </c>
      <c r="C51">
        <f t="shared" si="0"/>
        <v>6942</v>
      </c>
      <c r="D51">
        <f t="shared" si="0"/>
        <v>2000</v>
      </c>
      <c r="E51">
        <f t="shared" si="0"/>
        <v>10000</v>
      </c>
      <c r="F51">
        <f t="shared" si="0"/>
        <v>61</v>
      </c>
      <c r="G51">
        <f t="shared" si="0"/>
        <v>182</v>
      </c>
      <c r="H51">
        <f t="shared" si="0"/>
        <v>500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34">
        <v>46123</v>
      </c>
      <c r="B52">
        <f t="shared" si="1"/>
        <v>1190</v>
      </c>
      <c r="C52">
        <f t="shared" si="0"/>
        <v>6942</v>
      </c>
      <c r="D52">
        <f t="shared" si="0"/>
        <v>2000</v>
      </c>
      <c r="E52">
        <f t="shared" si="0"/>
        <v>10000</v>
      </c>
      <c r="F52">
        <f t="shared" si="0"/>
        <v>61</v>
      </c>
      <c r="G52">
        <f t="shared" si="0"/>
        <v>182</v>
      </c>
      <c r="H52">
        <f t="shared" si="0"/>
        <v>500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34">
        <v>46124</v>
      </c>
      <c r="B53">
        <f t="shared" si="1"/>
        <v>1190</v>
      </c>
      <c r="C53">
        <f t="shared" si="0"/>
        <v>6942</v>
      </c>
      <c r="D53">
        <f t="shared" si="0"/>
        <v>2000</v>
      </c>
      <c r="E53">
        <f t="shared" si="0"/>
        <v>10000</v>
      </c>
      <c r="F53">
        <f t="shared" si="0"/>
        <v>61</v>
      </c>
      <c r="G53">
        <f t="shared" si="0"/>
        <v>182</v>
      </c>
      <c r="H53">
        <f t="shared" si="0"/>
        <v>500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34">
        <v>46125</v>
      </c>
      <c r="B54">
        <f t="shared" si="1"/>
        <v>1190</v>
      </c>
      <c r="C54">
        <f t="shared" si="0"/>
        <v>6942</v>
      </c>
      <c r="D54">
        <f t="shared" si="0"/>
        <v>2000</v>
      </c>
      <c r="E54">
        <f t="shared" si="0"/>
        <v>10000</v>
      </c>
      <c r="F54">
        <f t="shared" si="0"/>
        <v>61</v>
      </c>
      <c r="G54">
        <f t="shared" si="0"/>
        <v>182</v>
      </c>
      <c r="H54">
        <f t="shared" si="0"/>
        <v>500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34">
        <v>46126</v>
      </c>
      <c r="B55">
        <f t="shared" si="1"/>
        <v>1190</v>
      </c>
      <c r="C55">
        <f t="shared" si="0"/>
        <v>6942</v>
      </c>
      <c r="D55">
        <f t="shared" si="0"/>
        <v>2000</v>
      </c>
      <c r="E55">
        <f t="shared" si="0"/>
        <v>10000</v>
      </c>
      <c r="F55">
        <f t="shared" si="0"/>
        <v>61</v>
      </c>
      <c r="G55">
        <f t="shared" si="0"/>
        <v>182</v>
      </c>
      <c r="H55">
        <f t="shared" si="0"/>
        <v>500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34">
        <v>46127</v>
      </c>
      <c r="B56">
        <f t="shared" si="1"/>
        <v>1190</v>
      </c>
      <c r="C56">
        <f t="shared" si="0"/>
        <v>6942</v>
      </c>
      <c r="D56">
        <f t="shared" si="0"/>
        <v>2000</v>
      </c>
      <c r="E56">
        <f t="shared" si="0"/>
        <v>10000</v>
      </c>
      <c r="F56">
        <f t="shared" si="0"/>
        <v>61</v>
      </c>
      <c r="G56">
        <f t="shared" si="0"/>
        <v>182</v>
      </c>
      <c r="H56">
        <f t="shared" si="0"/>
        <v>500</v>
      </c>
      <c r="I56">
        <f t="shared" si="0"/>
        <v>0</v>
      </c>
      <c r="J56">
        <f t="shared" si="0"/>
        <v>0</v>
      </c>
      <c r="K56" t="str">
        <f t="shared" si="0"/>
        <v>Forecasted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FFC7-2233-422D-AEB3-5739FADE92FB}">
  <sheetPr codeName="Sheet6"/>
  <dimension ref="A1:M56"/>
  <sheetViews>
    <sheetView tabSelected="1" zoomScale="140" zoomScaleNormal="140" workbookViewId="0">
      <pane xSplit="1" ySplit="3" topLeftCell="B50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4" x14ac:dyDescent="0.3"/>
  <cols>
    <col min="1" max="1" width="12.3320312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46106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46075</v>
      </c>
      <c r="B4">
        <v>10903</v>
      </c>
      <c r="C4">
        <v>8380</v>
      </c>
      <c r="D4">
        <v>8415</v>
      </c>
      <c r="E4">
        <v>51392</v>
      </c>
      <c r="F4">
        <v>696</v>
      </c>
      <c r="G4">
        <v>279</v>
      </c>
      <c r="H4">
        <v>918</v>
      </c>
      <c r="I4">
        <v>0</v>
      </c>
      <c r="J4">
        <v>0</v>
      </c>
      <c r="K4" t="s">
        <v>36</v>
      </c>
    </row>
    <row r="5" spans="1:13" x14ac:dyDescent="0.3">
      <c r="A5" s="34">
        <v>46076</v>
      </c>
      <c r="B5">
        <v>10893</v>
      </c>
      <c r="C5">
        <v>8374</v>
      </c>
      <c r="D5">
        <v>8261</v>
      </c>
      <c r="E5">
        <v>50640</v>
      </c>
      <c r="F5">
        <v>701</v>
      </c>
      <c r="G5">
        <v>281</v>
      </c>
      <c r="H5">
        <v>830</v>
      </c>
      <c r="I5">
        <v>0</v>
      </c>
      <c r="J5">
        <v>0</v>
      </c>
      <c r="K5" t="s">
        <v>36</v>
      </c>
    </row>
    <row r="6" spans="1:13" x14ac:dyDescent="0.3">
      <c r="A6" s="34">
        <v>46077</v>
      </c>
      <c r="B6">
        <v>10701</v>
      </c>
      <c r="C6">
        <v>8399</v>
      </c>
      <c r="D6">
        <v>8270</v>
      </c>
      <c r="E6">
        <v>49428</v>
      </c>
      <c r="F6">
        <v>703</v>
      </c>
      <c r="G6">
        <v>281</v>
      </c>
      <c r="H6">
        <v>823</v>
      </c>
      <c r="I6">
        <v>0</v>
      </c>
      <c r="J6">
        <v>0</v>
      </c>
      <c r="K6" t="s">
        <v>36</v>
      </c>
    </row>
    <row r="7" spans="1:13" x14ac:dyDescent="0.3">
      <c r="A7" s="34">
        <v>46078</v>
      </c>
      <c r="B7">
        <v>10495</v>
      </c>
      <c r="C7">
        <v>8437</v>
      </c>
      <c r="D7">
        <v>8057</v>
      </c>
      <c r="E7">
        <v>47908</v>
      </c>
      <c r="F7">
        <v>577</v>
      </c>
      <c r="G7">
        <v>299</v>
      </c>
      <c r="H7">
        <v>1320</v>
      </c>
      <c r="I7">
        <v>0</v>
      </c>
      <c r="J7">
        <v>0</v>
      </c>
      <c r="K7" t="s">
        <v>36</v>
      </c>
    </row>
    <row r="8" spans="1:13" x14ac:dyDescent="0.3">
      <c r="A8" s="34">
        <v>46079</v>
      </c>
      <c r="B8">
        <v>10295</v>
      </c>
      <c r="C8">
        <v>8413</v>
      </c>
      <c r="D8">
        <v>7762</v>
      </c>
      <c r="E8">
        <v>51892</v>
      </c>
      <c r="F8">
        <v>446</v>
      </c>
      <c r="G8">
        <v>298</v>
      </c>
      <c r="H8">
        <v>1979</v>
      </c>
      <c r="I8">
        <v>0</v>
      </c>
      <c r="J8">
        <v>0</v>
      </c>
      <c r="K8" t="s">
        <v>36</v>
      </c>
    </row>
    <row r="9" spans="1:13" x14ac:dyDescent="0.3">
      <c r="A9" s="34">
        <v>46080</v>
      </c>
      <c r="B9">
        <v>9912</v>
      </c>
      <c r="C9">
        <v>8409</v>
      </c>
      <c r="D9">
        <v>7473</v>
      </c>
      <c r="E9">
        <v>58456</v>
      </c>
      <c r="F9">
        <v>343</v>
      </c>
      <c r="G9">
        <v>299</v>
      </c>
      <c r="H9">
        <v>2079</v>
      </c>
      <c r="I9">
        <v>0</v>
      </c>
      <c r="J9">
        <v>3106</v>
      </c>
      <c r="K9" t="s">
        <v>36</v>
      </c>
    </row>
    <row r="10" spans="1:13" x14ac:dyDescent="0.3">
      <c r="A10" s="34">
        <v>46081</v>
      </c>
      <c r="B10">
        <v>9714</v>
      </c>
      <c r="C10">
        <v>8428</v>
      </c>
      <c r="D10">
        <v>7166</v>
      </c>
      <c r="E10">
        <v>63664</v>
      </c>
      <c r="F10">
        <v>296</v>
      </c>
      <c r="G10">
        <v>332</v>
      </c>
      <c r="H10">
        <v>2239</v>
      </c>
      <c r="I10">
        <v>0</v>
      </c>
      <c r="J10">
        <v>21886</v>
      </c>
      <c r="K10" t="s">
        <v>36</v>
      </c>
    </row>
    <row r="11" spans="1:13" x14ac:dyDescent="0.3">
      <c r="A11" s="34">
        <v>46082</v>
      </c>
      <c r="B11">
        <v>9333</v>
      </c>
      <c r="C11">
        <v>8434</v>
      </c>
      <c r="D11">
        <v>6944</v>
      </c>
      <c r="E11">
        <v>64696</v>
      </c>
      <c r="F11">
        <v>297</v>
      </c>
      <c r="G11">
        <v>289</v>
      </c>
      <c r="H11">
        <v>2379</v>
      </c>
      <c r="I11">
        <v>0</v>
      </c>
      <c r="J11">
        <v>17424</v>
      </c>
      <c r="K11" t="s">
        <v>36</v>
      </c>
    </row>
    <row r="12" spans="1:13" x14ac:dyDescent="0.3">
      <c r="A12" s="34">
        <v>46083</v>
      </c>
      <c r="B12">
        <v>8916</v>
      </c>
      <c r="C12">
        <v>8425</v>
      </c>
      <c r="D12">
        <v>6779</v>
      </c>
      <c r="E12">
        <v>63016</v>
      </c>
      <c r="F12">
        <v>248</v>
      </c>
      <c r="G12">
        <v>338</v>
      </c>
      <c r="H12">
        <v>2263</v>
      </c>
      <c r="I12">
        <v>0</v>
      </c>
      <c r="J12">
        <v>7377</v>
      </c>
      <c r="K12" t="s">
        <v>36</v>
      </c>
    </row>
    <row r="13" spans="1:13" x14ac:dyDescent="0.3">
      <c r="A13" s="34">
        <v>46084</v>
      </c>
      <c r="B13">
        <v>8908</v>
      </c>
      <c r="C13">
        <v>8418</v>
      </c>
      <c r="D13">
        <v>6611</v>
      </c>
      <c r="E13">
        <v>60568</v>
      </c>
      <c r="F13">
        <v>204</v>
      </c>
      <c r="G13">
        <v>317</v>
      </c>
      <c r="H13">
        <v>1994</v>
      </c>
      <c r="I13">
        <v>0</v>
      </c>
      <c r="J13">
        <v>796</v>
      </c>
      <c r="K13" t="s">
        <v>36</v>
      </c>
    </row>
    <row r="14" spans="1:13" x14ac:dyDescent="0.3">
      <c r="A14" s="34">
        <v>46085</v>
      </c>
      <c r="B14">
        <v>8707</v>
      </c>
      <c r="C14">
        <v>8411</v>
      </c>
      <c r="D14">
        <v>6389</v>
      </c>
      <c r="E14">
        <v>57779</v>
      </c>
      <c r="F14">
        <v>148</v>
      </c>
      <c r="G14">
        <v>328</v>
      </c>
      <c r="H14">
        <v>1744</v>
      </c>
      <c r="I14">
        <v>0</v>
      </c>
      <c r="J14">
        <v>0</v>
      </c>
      <c r="K14" t="s">
        <v>36</v>
      </c>
    </row>
    <row r="15" spans="1:13" x14ac:dyDescent="0.3">
      <c r="A15" s="34">
        <v>46086</v>
      </c>
      <c r="B15">
        <v>8523</v>
      </c>
      <c r="C15">
        <v>8372</v>
      </c>
      <c r="D15">
        <v>6215</v>
      </c>
      <c r="E15">
        <v>54132</v>
      </c>
      <c r="F15">
        <v>99</v>
      </c>
      <c r="G15">
        <v>359</v>
      </c>
      <c r="H15">
        <v>1555</v>
      </c>
      <c r="I15">
        <v>0</v>
      </c>
      <c r="J15">
        <v>0</v>
      </c>
      <c r="K15" t="s">
        <v>36</v>
      </c>
    </row>
    <row r="16" spans="1:13" x14ac:dyDescent="0.3">
      <c r="A16" s="34">
        <v>46087</v>
      </c>
      <c r="B16">
        <v>8329</v>
      </c>
      <c r="C16">
        <v>8351</v>
      </c>
      <c r="D16">
        <v>6106</v>
      </c>
      <c r="E16">
        <v>50104</v>
      </c>
      <c r="F16">
        <v>104</v>
      </c>
      <c r="G16">
        <v>359</v>
      </c>
      <c r="H16">
        <v>1365</v>
      </c>
      <c r="I16">
        <v>0</v>
      </c>
      <c r="J16">
        <v>0</v>
      </c>
      <c r="K16" t="s">
        <v>36</v>
      </c>
    </row>
    <row r="17" spans="1:11" x14ac:dyDescent="0.3">
      <c r="A17" s="34">
        <v>46088</v>
      </c>
      <c r="B17">
        <v>8121</v>
      </c>
      <c r="C17">
        <v>8367</v>
      </c>
      <c r="D17">
        <v>5683</v>
      </c>
      <c r="E17">
        <v>46516</v>
      </c>
      <c r="F17">
        <v>105</v>
      </c>
      <c r="G17">
        <v>352</v>
      </c>
      <c r="H17">
        <v>1207</v>
      </c>
      <c r="I17">
        <v>0</v>
      </c>
      <c r="J17">
        <v>0</v>
      </c>
      <c r="K17" t="s">
        <v>36</v>
      </c>
    </row>
    <row r="18" spans="1:11" x14ac:dyDescent="0.3">
      <c r="A18" s="34">
        <v>46089</v>
      </c>
      <c r="B18">
        <v>7409</v>
      </c>
      <c r="C18">
        <v>8024</v>
      </c>
      <c r="D18">
        <v>5345</v>
      </c>
      <c r="E18">
        <v>43272</v>
      </c>
      <c r="F18">
        <v>112</v>
      </c>
      <c r="G18">
        <v>353</v>
      </c>
      <c r="H18">
        <v>1108</v>
      </c>
      <c r="I18">
        <v>0</v>
      </c>
      <c r="J18">
        <v>0</v>
      </c>
      <c r="K18" t="s">
        <v>36</v>
      </c>
    </row>
    <row r="19" spans="1:11" x14ac:dyDescent="0.3">
      <c r="A19" s="34">
        <v>46090</v>
      </c>
      <c r="B19">
        <v>7120</v>
      </c>
      <c r="C19">
        <v>8399</v>
      </c>
      <c r="D19">
        <v>5186</v>
      </c>
      <c r="E19">
        <v>40656</v>
      </c>
      <c r="F19">
        <v>114</v>
      </c>
      <c r="G19">
        <v>357</v>
      </c>
      <c r="H19">
        <v>1065</v>
      </c>
      <c r="I19">
        <v>0</v>
      </c>
      <c r="J19">
        <v>0</v>
      </c>
      <c r="K19" t="s">
        <v>36</v>
      </c>
    </row>
    <row r="20" spans="1:11" x14ac:dyDescent="0.3">
      <c r="A20" s="34">
        <v>46091</v>
      </c>
      <c r="B20">
        <v>7321</v>
      </c>
      <c r="C20">
        <v>8397</v>
      </c>
      <c r="D20">
        <v>5019</v>
      </c>
      <c r="E20">
        <v>39212</v>
      </c>
      <c r="F20">
        <v>78</v>
      </c>
      <c r="G20">
        <v>342</v>
      </c>
      <c r="H20">
        <v>1011</v>
      </c>
      <c r="I20">
        <v>0</v>
      </c>
      <c r="J20">
        <v>0</v>
      </c>
      <c r="K20" t="s">
        <v>36</v>
      </c>
    </row>
    <row r="21" spans="1:11" x14ac:dyDescent="0.3">
      <c r="A21" s="34">
        <v>46092</v>
      </c>
      <c r="B21">
        <v>6928</v>
      </c>
      <c r="C21">
        <v>8361</v>
      </c>
      <c r="D21">
        <v>4919</v>
      </c>
      <c r="E21">
        <v>37076</v>
      </c>
      <c r="F21">
        <v>54</v>
      </c>
      <c r="G21">
        <v>342</v>
      </c>
      <c r="H21">
        <v>949</v>
      </c>
      <c r="I21">
        <v>0</v>
      </c>
      <c r="J21">
        <v>0</v>
      </c>
      <c r="K21" t="s">
        <v>36</v>
      </c>
    </row>
    <row r="22" spans="1:11" x14ac:dyDescent="0.3">
      <c r="A22" s="34">
        <v>46093</v>
      </c>
      <c r="B22">
        <v>6942</v>
      </c>
      <c r="C22">
        <v>8353</v>
      </c>
      <c r="D22">
        <v>4792</v>
      </c>
      <c r="E22">
        <v>34136</v>
      </c>
      <c r="F22">
        <v>50</v>
      </c>
      <c r="G22">
        <v>331</v>
      </c>
      <c r="H22">
        <v>881</v>
      </c>
      <c r="I22">
        <v>0</v>
      </c>
      <c r="J22">
        <v>0</v>
      </c>
      <c r="K22" t="s">
        <v>36</v>
      </c>
    </row>
    <row r="23" spans="1:11" x14ac:dyDescent="0.3">
      <c r="A23" s="34">
        <v>46094</v>
      </c>
      <c r="B23">
        <v>6740</v>
      </c>
      <c r="C23">
        <v>8370</v>
      </c>
      <c r="D23">
        <v>4728</v>
      </c>
      <c r="E23">
        <v>30884</v>
      </c>
      <c r="F23">
        <v>54</v>
      </c>
      <c r="G23">
        <v>335</v>
      </c>
      <c r="H23">
        <v>839</v>
      </c>
      <c r="I23">
        <v>0</v>
      </c>
      <c r="J23">
        <v>0</v>
      </c>
      <c r="K23" t="s">
        <v>36</v>
      </c>
    </row>
    <row r="24" spans="1:11" x14ac:dyDescent="0.3">
      <c r="A24" s="34">
        <v>46095</v>
      </c>
      <c r="B24">
        <v>6528</v>
      </c>
      <c r="C24">
        <v>8378</v>
      </c>
      <c r="D24">
        <v>4813</v>
      </c>
      <c r="E24">
        <v>28720</v>
      </c>
      <c r="F24">
        <v>60</v>
      </c>
      <c r="G24">
        <v>330</v>
      </c>
      <c r="H24">
        <v>800</v>
      </c>
      <c r="I24">
        <v>0</v>
      </c>
      <c r="J24">
        <v>0</v>
      </c>
      <c r="K24" t="s">
        <v>36</v>
      </c>
    </row>
    <row r="25" spans="1:11" x14ac:dyDescent="0.3">
      <c r="A25" s="34">
        <v>46096</v>
      </c>
      <c r="B25">
        <v>6536</v>
      </c>
      <c r="C25">
        <v>8359</v>
      </c>
      <c r="D25">
        <v>4885</v>
      </c>
      <c r="E25">
        <v>27508</v>
      </c>
      <c r="F25">
        <v>63</v>
      </c>
      <c r="G25">
        <v>294</v>
      </c>
      <c r="H25">
        <v>755</v>
      </c>
      <c r="I25">
        <v>0</v>
      </c>
      <c r="J25">
        <v>0</v>
      </c>
      <c r="K25" t="s">
        <v>36</v>
      </c>
    </row>
    <row r="26" spans="1:11" x14ac:dyDescent="0.3">
      <c r="A26" s="34">
        <v>46097</v>
      </c>
      <c r="B26">
        <v>6005</v>
      </c>
      <c r="C26">
        <v>8343</v>
      </c>
      <c r="D26">
        <v>4883</v>
      </c>
      <c r="E26">
        <v>26652</v>
      </c>
      <c r="F26">
        <v>58</v>
      </c>
      <c r="G26">
        <v>236</v>
      </c>
      <c r="H26">
        <v>723</v>
      </c>
      <c r="I26">
        <v>0</v>
      </c>
      <c r="J26">
        <v>0</v>
      </c>
      <c r="K26" t="s">
        <v>36</v>
      </c>
    </row>
    <row r="27" spans="1:11" x14ac:dyDescent="0.3">
      <c r="A27" s="34">
        <v>46098</v>
      </c>
      <c r="B27">
        <v>6736</v>
      </c>
      <c r="C27">
        <v>8358</v>
      </c>
      <c r="D27">
        <v>4741</v>
      </c>
      <c r="E27">
        <v>25584</v>
      </c>
      <c r="F27">
        <v>63</v>
      </c>
      <c r="G27">
        <v>226</v>
      </c>
      <c r="H27">
        <v>708</v>
      </c>
      <c r="I27">
        <v>0</v>
      </c>
      <c r="J27">
        <v>0</v>
      </c>
      <c r="K27" t="s">
        <v>36</v>
      </c>
    </row>
    <row r="28" spans="1:11" x14ac:dyDescent="0.3">
      <c r="A28" s="34">
        <v>46099</v>
      </c>
      <c r="B28">
        <v>6538</v>
      </c>
      <c r="C28">
        <v>8343</v>
      </c>
      <c r="D28">
        <v>4593</v>
      </c>
      <c r="E28">
        <v>24200</v>
      </c>
      <c r="F28">
        <v>58</v>
      </c>
      <c r="G28">
        <v>227</v>
      </c>
      <c r="H28">
        <v>651</v>
      </c>
      <c r="I28">
        <v>0</v>
      </c>
      <c r="J28">
        <v>0</v>
      </c>
      <c r="K28" t="s">
        <v>36</v>
      </c>
    </row>
    <row r="29" spans="1:11" x14ac:dyDescent="0.3">
      <c r="A29" s="34">
        <v>46100</v>
      </c>
      <c r="B29">
        <v>585</v>
      </c>
      <c r="C29">
        <v>1677</v>
      </c>
      <c r="D29">
        <v>4214</v>
      </c>
      <c r="E29">
        <v>22556</v>
      </c>
      <c r="F29">
        <v>62</v>
      </c>
      <c r="G29">
        <v>226</v>
      </c>
      <c r="H29">
        <v>620</v>
      </c>
      <c r="I29">
        <v>0</v>
      </c>
      <c r="J29">
        <v>0</v>
      </c>
      <c r="K29" t="s">
        <v>36</v>
      </c>
    </row>
    <row r="30" spans="1:11" x14ac:dyDescent="0.3">
      <c r="A30" s="34">
        <v>46101</v>
      </c>
      <c r="B30">
        <v>6130</v>
      </c>
      <c r="C30">
        <v>8314</v>
      </c>
      <c r="D30">
        <v>3852</v>
      </c>
      <c r="E30">
        <v>21624</v>
      </c>
      <c r="F30">
        <v>63</v>
      </c>
      <c r="G30">
        <v>210</v>
      </c>
      <c r="H30">
        <v>607</v>
      </c>
      <c r="I30">
        <v>0</v>
      </c>
      <c r="J30">
        <v>0</v>
      </c>
      <c r="K30" t="s">
        <v>36</v>
      </c>
    </row>
    <row r="31" spans="1:11" x14ac:dyDescent="0.3">
      <c r="A31" s="34">
        <v>46102</v>
      </c>
      <c r="B31">
        <v>5729</v>
      </c>
      <c r="C31">
        <v>8362</v>
      </c>
      <c r="D31">
        <v>3562</v>
      </c>
      <c r="E31">
        <v>20584</v>
      </c>
      <c r="F31">
        <v>66</v>
      </c>
      <c r="G31">
        <v>205</v>
      </c>
      <c r="H31">
        <v>563</v>
      </c>
      <c r="I31">
        <v>0</v>
      </c>
      <c r="J31">
        <v>0</v>
      </c>
      <c r="K31" t="s">
        <v>36</v>
      </c>
    </row>
    <row r="32" spans="1:11" x14ac:dyDescent="0.3">
      <c r="A32" s="34">
        <v>46103</v>
      </c>
      <c r="B32">
        <v>5351</v>
      </c>
      <c r="C32">
        <v>8380</v>
      </c>
      <c r="D32">
        <v>3325</v>
      </c>
      <c r="E32">
        <v>19808</v>
      </c>
      <c r="F32">
        <v>62</v>
      </c>
      <c r="G32">
        <v>202</v>
      </c>
      <c r="H32">
        <v>553</v>
      </c>
      <c r="I32">
        <v>0</v>
      </c>
      <c r="J32">
        <v>0</v>
      </c>
      <c r="K32" t="s">
        <v>36</v>
      </c>
    </row>
    <row r="33" spans="1:11" x14ac:dyDescent="0.3">
      <c r="A33" s="34">
        <v>46104</v>
      </c>
      <c r="B33">
        <v>4954</v>
      </c>
      <c r="C33">
        <v>8381</v>
      </c>
      <c r="D33">
        <v>3057</v>
      </c>
      <c r="E33">
        <v>19100</v>
      </c>
      <c r="F33">
        <v>66</v>
      </c>
      <c r="G33">
        <v>199</v>
      </c>
      <c r="H33">
        <v>534</v>
      </c>
      <c r="I33">
        <v>0</v>
      </c>
      <c r="J33">
        <v>0</v>
      </c>
      <c r="K33" t="s">
        <v>36</v>
      </c>
    </row>
    <row r="34" spans="1:11" x14ac:dyDescent="0.3">
      <c r="A34" s="34">
        <v>46105</v>
      </c>
      <c r="B34">
        <v>6346</v>
      </c>
      <c r="C34">
        <v>6929</v>
      </c>
      <c r="D34">
        <v>2683</v>
      </c>
      <c r="E34">
        <v>18400</v>
      </c>
      <c r="F34">
        <v>61</v>
      </c>
      <c r="G34">
        <v>182</v>
      </c>
      <c r="H34">
        <v>500</v>
      </c>
      <c r="I34">
        <v>0</v>
      </c>
      <c r="J34">
        <v>0</v>
      </c>
      <c r="K34" t="s">
        <v>36</v>
      </c>
    </row>
    <row r="35" spans="1:11" x14ac:dyDescent="0.3">
      <c r="A35" s="34">
        <v>46106</v>
      </c>
      <c r="B35">
        <v>9124</v>
      </c>
      <c r="C35">
        <v>6929</v>
      </c>
      <c r="D35">
        <v>2420</v>
      </c>
      <c r="E35">
        <v>17028</v>
      </c>
      <c r="F35">
        <v>61</v>
      </c>
      <c r="G35">
        <v>182</v>
      </c>
      <c r="H35">
        <v>500</v>
      </c>
      <c r="I35">
        <v>0</v>
      </c>
      <c r="J35">
        <v>0</v>
      </c>
      <c r="K35" t="s">
        <v>37</v>
      </c>
    </row>
    <row r="36" spans="1:11" x14ac:dyDescent="0.3">
      <c r="A36" s="34">
        <v>46107</v>
      </c>
      <c r="B36">
        <v>8727</v>
      </c>
      <c r="C36">
        <v>6929</v>
      </c>
      <c r="D36">
        <v>2218</v>
      </c>
      <c r="E36">
        <v>15383</v>
      </c>
      <c r="F36">
        <v>61</v>
      </c>
      <c r="G36">
        <v>182</v>
      </c>
      <c r="H36">
        <v>500</v>
      </c>
      <c r="I36">
        <v>0</v>
      </c>
      <c r="J36">
        <v>0</v>
      </c>
      <c r="K36" t="s">
        <v>37</v>
      </c>
    </row>
    <row r="37" spans="1:11" x14ac:dyDescent="0.3">
      <c r="A37" s="34">
        <v>46108</v>
      </c>
      <c r="B37">
        <v>7141</v>
      </c>
      <c r="C37">
        <v>8331</v>
      </c>
      <c r="D37">
        <v>2068</v>
      </c>
      <c r="E37">
        <v>14049</v>
      </c>
      <c r="F37">
        <v>61</v>
      </c>
      <c r="G37">
        <v>182</v>
      </c>
      <c r="H37">
        <v>500</v>
      </c>
      <c r="I37">
        <v>0</v>
      </c>
      <c r="J37">
        <v>0</v>
      </c>
      <c r="K37" t="s">
        <v>37</v>
      </c>
    </row>
    <row r="38" spans="1:11" x14ac:dyDescent="0.3">
      <c r="A38" s="34">
        <v>46109</v>
      </c>
      <c r="B38">
        <v>6942</v>
      </c>
      <c r="C38">
        <v>8331</v>
      </c>
      <c r="D38">
        <v>1959</v>
      </c>
      <c r="E38">
        <v>13460</v>
      </c>
      <c r="F38">
        <v>61</v>
      </c>
      <c r="G38">
        <v>182</v>
      </c>
      <c r="H38">
        <v>500</v>
      </c>
      <c r="I38">
        <v>0</v>
      </c>
      <c r="J38">
        <v>0</v>
      </c>
      <c r="K38" t="s">
        <v>37</v>
      </c>
    </row>
    <row r="39" spans="1:11" x14ac:dyDescent="0.3">
      <c r="A39" s="34">
        <v>46110</v>
      </c>
      <c r="B39">
        <v>6942</v>
      </c>
      <c r="C39">
        <v>8331</v>
      </c>
      <c r="D39">
        <v>1894</v>
      </c>
      <c r="E39">
        <v>13111</v>
      </c>
      <c r="F39">
        <v>61</v>
      </c>
      <c r="G39">
        <v>182</v>
      </c>
      <c r="H39">
        <v>500</v>
      </c>
      <c r="I39">
        <v>0</v>
      </c>
      <c r="J39">
        <v>0</v>
      </c>
      <c r="K39" t="s">
        <v>37</v>
      </c>
    </row>
    <row r="40" spans="1:11" x14ac:dyDescent="0.3">
      <c r="A40" s="34">
        <v>46111</v>
      </c>
      <c r="B40">
        <v>6744</v>
      </c>
      <c r="C40">
        <v>8331</v>
      </c>
      <c r="D40">
        <v>1894</v>
      </c>
      <c r="E40">
        <v>12833</v>
      </c>
      <c r="F40">
        <v>61</v>
      </c>
      <c r="G40">
        <v>182</v>
      </c>
      <c r="H40">
        <v>500</v>
      </c>
      <c r="I40">
        <v>0</v>
      </c>
      <c r="J40">
        <v>0</v>
      </c>
      <c r="K40" t="s">
        <v>37</v>
      </c>
    </row>
    <row r="41" spans="1:11" x14ac:dyDescent="0.3">
      <c r="A41" s="34">
        <v>46112</v>
      </c>
      <c r="B41">
        <v>6744</v>
      </c>
      <c r="C41">
        <v>8331</v>
      </c>
      <c r="D41">
        <v>1894</v>
      </c>
      <c r="E41">
        <v>12668</v>
      </c>
      <c r="F41">
        <v>61</v>
      </c>
      <c r="G41">
        <v>182</v>
      </c>
      <c r="H41">
        <v>500</v>
      </c>
      <c r="I41">
        <v>0</v>
      </c>
      <c r="J41">
        <v>0</v>
      </c>
      <c r="K41" t="s">
        <v>37</v>
      </c>
    </row>
    <row r="42" spans="1:11" x14ac:dyDescent="0.3">
      <c r="A42" s="34">
        <v>46113</v>
      </c>
      <c r="B42">
        <v>1190</v>
      </c>
      <c r="C42">
        <v>8331</v>
      </c>
      <c r="D42">
        <v>2000</v>
      </c>
      <c r="E42">
        <v>12665</v>
      </c>
      <c r="F42">
        <v>61</v>
      </c>
      <c r="G42">
        <v>182</v>
      </c>
      <c r="H42">
        <v>500</v>
      </c>
      <c r="I42">
        <v>0</v>
      </c>
      <c r="J42">
        <v>0</v>
      </c>
      <c r="K42" t="s">
        <v>37</v>
      </c>
    </row>
    <row r="43" spans="1:11" x14ac:dyDescent="0.3">
      <c r="A43" s="34">
        <v>46114</v>
      </c>
      <c r="B43">
        <v>1190</v>
      </c>
      <c r="C43">
        <v>8331</v>
      </c>
      <c r="D43">
        <v>2000</v>
      </c>
      <c r="E43">
        <v>12975</v>
      </c>
      <c r="F43">
        <v>61</v>
      </c>
      <c r="G43">
        <v>182</v>
      </c>
      <c r="H43">
        <v>500</v>
      </c>
      <c r="I43">
        <v>0</v>
      </c>
      <c r="J43">
        <v>0</v>
      </c>
      <c r="K43" t="s">
        <v>37</v>
      </c>
    </row>
    <row r="44" spans="1:11" x14ac:dyDescent="0.3">
      <c r="A44" s="34">
        <v>46115</v>
      </c>
      <c r="B44">
        <v>1190</v>
      </c>
      <c r="C44">
        <v>8331</v>
      </c>
      <c r="D44">
        <v>2000</v>
      </c>
      <c r="E44">
        <v>13907</v>
      </c>
      <c r="F44">
        <v>61</v>
      </c>
      <c r="G44">
        <v>182</v>
      </c>
      <c r="H44">
        <v>500</v>
      </c>
      <c r="I44">
        <v>0</v>
      </c>
      <c r="J44">
        <v>0</v>
      </c>
      <c r="K44" t="s">
        <v>37</v>
      </c>
    </row>
    <row r="45" spans="1:11" x14ac:dyDescent="0.3">
      <c r="A45" s="34">
        <v>46116</v>
      </c>
      <c r="B45">
        <v>1190</v>
      </c>
      <c r="C45">
        <v>8331</v>
      </c>
      <c r="D45">
        <v>2000</v>
      </c>
      <c r="E45">
        <v>13000</v>
      </c>
      <c r="F45">
        <v>61</v>
      </c>
      <c r="G45">
        <v>182</v>
      </c>
      <c r="H45">
        <v>500</v>
      </c>
      <c r="I45">
        <v>0</v>
      </c>
      <c r="J45">
        <v>0</v>
      </c>
      <c r="K45" t="s">
        <v>37</v>
      </c>
    </row>
    <row r="46" spans="1:11" x14ac:dyDescent="0.3">
      <c r="A46" s="34">
        <v>46117</v>
      </c>
      <c r="B46">
        <v>1190</v>
      </c>
      <c r="C46">
        <v>8331</v>
      </c>
      <c r="D46">
        <v>2000</v>
      </c>
      <c r="E46">
        <v>12000</v>
      </c>
      <c r="F46">
        <v>61</v>
      </c>
      <c r="G46">
        <v>182</v>
      </c>
      <c r="H46">
        <v>500</v>
      </c>
      <c r="I46">
        <v>0</v>
      </c>
      <c r="J46">
        <v>0</v>
      </c>
      <c r="K46" t="s">
        <v>37</v>
      </c>
    </row>
    <row r="47" spans="1:11" x14ac:dyDescent="0.3">
      <c r="A47" s="34">
        <v>46118</v>
      </c>
      <c r="B47">
        <v>1190</v>
      </c>
      <c r="C47">
        <v>8331</v>
      </c>
      <c r="D47">
        <v>2000</v>
      </c>
      <c r="E47">
        <v>11000</v>
      </c>
      <c r="F47">
        <v>61</v>
      </c>
      <c r="G47">
        <v>182</v>
      </c>
      <c r="H47">
        <v>500</v>
      </c>
      <c r="I47">
        <v>0</v>
      </c>
      <c r="J47">
        <v>0</v>
      </c>
      <c r="K47" t="s">
        <v>37</v>
      </c>
    </row>
    <row r="48" spans="1:11" x14ac:dyDescent="0.3">
      <c r="A48" s="34">
        <v>46119</v>
      </c>
      <c r="B48">
        <v>1190</v>
      </c>
      <c r="C48">
        <v>8331</v>
      </c>
      <c r="D48">
        <v>2000</v>
      </c>
      <c r="E48">
        <v>10000</v>
      </c>
      <c r="F48">
        <v>61</v>
      </c>
      <c r="G48">
        <v>182</v>
      </c>
      <c r="H48">
        <v>500</v>
      </c>
      <c r="I48">
        <v>0</v>
      </c>
      <c r="J48">
        <v>0</v>
      </c>
      <c r="K48" t="s">
        <v>37</v>
      </c>
    </row>
    <row r="49" spans="1:11" x14ac:dyDescent="0.3">
      <c r="A49" s="34">
        <v>46120</v>
      </c>
      <c r="B49">
        <f>B48</f>
        <v>1190</v>
      </c>
      <c r="C49">
        <f t="shared" ref="C49:K56" si="0">C48</f>
        <v>8331</v>
      </c>
      <c r="D49">
        <f t="shared" si="0"/>
        <v>2000</v>
      </c>
      <c r="E49">
        <f t="shared" si="0"/>
        <v>10000</v>
      </c>
      <c r="F49">
        <f t="shared" si="0"/>
        <v>61</v>
      </c>
      <c r="G49">
        <f t="shared" si="0"/>
        <v>182</v>
      </c>
      <c r="H49">
        <f t="shared" si="0"/>
        <v>500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34">
        <v>46121</v>
      </c>
      <c r="B50">
        <f t="shared" ref="B50:B56" si="1">B49</f>
        <v>1190</v>
      </c>
      <c r="C50">
        <f t="shared" si="0"/>
        <v>8331</v>
      </c>
      <c r="D50">
        <f t="shared" si="0"/>
        <v>2000</v>
      </c>
      <c r="E50">
        <f t="shared" si="0"/>
        <v>10000</v>
      </c>
      <c r="F50">
        <f t="shared" si="0"/>
        <v>61</v>
      </c>
      <c r="G50">
        <f t="shared" si="0"/>
        <v>182</v>
      </c>
      <c r="H50">
        <f t="shared" si="0"/>
        <v>500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34">
        <v>46122</v>
      </c>
      <c r="B51">
        <f t="shared" si="1"/>
        <v>1190</v>
      </c>
      <c r="C51">
        <f t="shared" si="0"/>
        <v>8331</v>
      </c>
      <c r="D51">
        <f t="shared" si="0"/>
        <v>2000</v>
      </c>
      <c r="E51">
        <f t="shared" si="0"/>
        <v>10000</v>
      </c>
      <c r="F51">
        <f t="shared" si="0"/>
        <v>61</v>
      </c>
      <c r="G51">
        <f t="shared" si="0"/>
        <v>182</v>
      </c>
      <c r="H51">
        <f t="shared" si="0"/>
        <v>500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34">
        <v>46123</v>
      </c>
      <c r="B52">
        <f t="shared" si="1"/>
        <v>1190</v>
      </c>
      <c r="C52">
        <f t="shared" si="0"/>
        <v>8331</v>
      </c>
      <c r="D52">
        <f t="shared" si="0"/>
        <v>2000</v>
      </c>
      <c r="E52">
        <f t="shared" si="0"/>
        <v>10000</v>
      </c>
      <c r="F52">
        <f t="shared" si="0"/>
        <v>61</v>
      </c>
      <c r="G52">
        <f t="shared" si="0"/>
        <v>182</v>
      </c>
      <c r="H52">
        <f t="shared" si="0"/>
        <v>500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34">
        <v>46124</v>
      </c>
      <c r="B53">
        <f t="shared" si="1"/>
        <v>1190</v>
      </c>
      <c r="C53">
        <f t="shared" si="0"/>
        <v>8331</v>
      </c>
      <c r="D53">
        <f t="shared" si="0"/>
        <v>2000</v>
      </c>
      <c r="E53">
        <f t="shared" si="0"/>
        <v>10000</v>
      </c>
      <c r="F53">
        <f t="shared" si="0"/>
        <v>61</v>
      </c>
      <c r="G53">
        <f t="shared" si="0"/>
        <v>182</v>
      </c>
      <c r="H53">
        <f t="shared" si="0"/>
        <v>500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34">
        <v>46125</v>
      </c>
      <c r="B54">
        <f t="shared" si="1"/>
        <v>1190</v>
      </c>
      <c r="C54">
        <f t="shared" si="0"/>
        <v>8331</v>
      </c>
      <c r="D54">
        <f t="shared" si="0"/>
        <v>2000</v>
      </c>
      <c r="E54">
        <f t="shared" si="0"/>
        <v>10000</v>
      </c>
      <c r="F54">
        <f t="shared" si="0"/>
        <v>61</v>
      </c>
      <c r="G54">
        <f t="shared" si="0"/>
        <v>182</v>
      </c>
      <c r="H54">
        <f t="shared" si="0"/>
        <v>500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34">
        <v>46126</v>
      </c>
      <c r="B55">
        <f t="shared" si="1"/>
        <v>1190</v>
      </c>
      <c r="C55">
        <f t="shared" si="0"/>
        <v>8331</v>
      </c>
      <c r="D55">
        <f t="shared" si="0"/>
        <v>2000</v>
      </c>
      <c r="E55">
        <f t="shared" si="0"/>
        <v>10000</v>
      </c>
      <c r="F55">
        <f t="shared" si="0"/>
        <v>61</v>
      </c>
      <c r="G55">
        <f t="shared" si="0"/>
        <v>182</v>
      </c>
      <c r="H55">
        <f t="shared" si="0"/>
        <v>500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34">
        <v>46127</v>
      </c>
      <c r="B56">
        <f t="shared" si="1"/>
        <v>1190</v>
      </c>
      <c r="C56">
        <f t="shared" si="0"/>
        <v>8331</v>
      </c>
      <c r="D56">
        <f t="shared" si="0"/>
        <v>2000</v>
      </c>
      <c r="E56">
        <f t="shared" si="0"/>
        <v>10000</v>
      </c>
      <c r="F56">
        <f t="shared" si="0"/>
        <v>61</v>
      </c>
      <c r="G56">
        <f t="shared" si="0"/>
        <v>182</v>
      </c>
      <c r="H56">
        <f t="shared" si="0"/>
        <v>500</v>
      </c>
      <c r="I56">
        <f t="shared" si="0"/>
        <v>0</v>
      </c>
      <c r="J56">
        <f t="shared" si="0"/>
        <v>0</v>
      </c>
      <c r="K56" t="str">
        <f t="shared" si="0"/>
        <v>Forecasted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9001-A555-470C-A233-98453513F135}">
  <sheetPr codeName="Sheet7"/>
  <dimension ref="A1:E9"/>
  <sheetViews>
    <sheetView workbookViewId="0">
      <selection activeCell="A3" sqref="A3"/>
    </sheetView>
  </sheetViews>
  <sheetFormatPr defaultRowHeight="14.4" x14ac:dyDescent="0.3"/>
  <cols>
    <col min="1" max="1" width="13.44140625" customWidth="1"/>
    <col min="2" max="2" width="9.109375" bestFit="1" customWidth="1"/>
    <col min="3" max="5" width="9" bestFit="1" customWidth="1"/>
  </cols>
  <sheetData>
    <row r="1" spans="1:5" x14ac:dyDescent="0.3">
      <c r="B1" t="s">
        <v>2</v>
      </c>
      <c r="C1" t="s">
        <v>19</v>
      </c>
      <c r="D1" t="s">
        <v>28</v>
      </c>
      <c r="E1" t="s">
        <v>29</v>
      </c>
    </row>
    <row r="2" spans="1:5" x14ac:dyDescent="0.3">
      <c r="A2" t="s">
        <v>78</v>
      </c>
      <c r="B2" t="s">
        <v>0</v>
      </c>
      <c r="C2" t="s">
        <v>0</v>
      </c>
      <c r="D2" t="s">
        <v>0</v>
      </c>
      <c r="E2" t="s">
        <v>0</v>
      </c>
    </row>
    <row r="3" spans="1:5" x14ac:dyDescent="0.3">
      <c r="A3" s="67">
        <f>plot_example!A3</f>
        <v>46105</v>
      </c>
      <c r="B3" s="66"/>
      <c r="C3" s="66"/>
      <c r="D3" s="66"/>
      <c r="E3" s="66"/>
    </row>
    <row r="4" spans="1:5" x14ac:dyDescent="0.3">
      <c r="A4" s="34">
        <f>A3+1</f>
        <v>46106</v>
      </c>
      <c r="B4" s="66"/>
      <c r="C4" s="66"/>
      <c r="D4" s="66"/>
      <c r="E4" s="66"/>
    </row>
    <row r="5" spans="1:5" x14ac:dyDescent="0.3">
      <c r="A5" s="34">
        <f t="shared" ref="A5:A9" si="0">A4+1</f>
        <v>46107</v>
      </c>
      <c r="B5" s="66"/>
      <c r="C5" s="66"/>
      <c r="D5" s="66"/>
      <c r="E5" s="66"/>
    </row>
    <row r="6" spans="1:5" x14ac:dyDescent="0.3">
      <c r="A6" s="34">
        <f t="shared" si="0"/>
        <v>46108</v>
      </c>
      <c r="B6" s="66"/>
      <c r="C6" s="66"/>
      <c r="D6" s="66"/>
      <c r="E6" s="66"/>
    </row>
    <row r="7" spans="1:5" x14ac:dyDescent="0.3">
      <c r="A7" s="34">
        <f t="shared" si="0"/>
        <v>46109</v>
      </c>
      <c r="B7" s="66"/>
      <c r="C7" s="66"/>
      <c r="D7" s="66"/>
      <c r="E7" s="66"/>
    </row>
    <row r="8" spans="1:5" x14ac:dyDescent="0.3">
      <c r="A8" s="34">
        <f t="shared" si="0"/>
        <v>46110</v>
      </c>
      <c r="B8" s="66"/>
      <c r="C8" s="66"/>
      <c r="D8" s="66"/>
      <c r="E8" s="66"/>
    </row>
    <row r="9" spans="1:5" x14ac:dyDescent="0.3">
      <c r="A9" s="34">
        <f t="shared" si="0"/>
        <v>46111</v>
      </c>
      <c r="B9" s="66"/>
      <c r="C9" s="66"/>
      <c r="D9" s="66"/>
      <c r="E9" s="6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4864-8A26-43EA-8761-E33ED4952C69}">
  <sheetPr codeName="Sheet8"/>
  <dimension ref="A1:Z26"/>
  <sheetViews>
    <sheetView zoomScale="80" zoomScaleNormal="80" workbookViewId="0">
      <selection activeCell="N45" sqref="N45"/>
    </sheetView>
  </sheetViews>
  <sheetFormatPr defaultRowHeight="14.4" x14ac:dyDescent="0.3"/>
  <cols>
    <col min="1" max="1" width="13.33203125" customWidth="1"/>
    <col min="3" max="3" width="12.109375" bestFit="1" customWidth="1"/>
    <col min="4" max="4" width="13.88671875" bestFit="1" customWidth="1"/>
    <col min="5" max="5" width="10" bestFit="1" customWidth="1"/>
  </cols>
  <sheetData>
    <row r="1" spans="1:26" x14ac:dyDescent="0.3">
      <c r="A1" t="s">
        <v>65</v>
      </c>
      <c r="F1" t="s">
        <v>59</v>
      </c>
    </row>
    <row r="2" spans="1:26" x14ac:dyDescent="0.3">
      <c r="L2" s="48" t="s">
        <v>79</v>
      </c>
      <c r="Z2" s="48" t="s">
        <v>80</v>
      </c>
    </row>
    <row r="3" spans="1:26" x14ac:dyDescent="0.3">
      <c r="B3" t="s">
        <v>60</v>
      </c>
      <c r="F3" t="s">
        <v>60</v>
      </c>
    </row>
    <row r="4" spans="1:26" x14ac:dyDescent="0.3">
      <c r="B4" t="s">
        <v>61</v>
      </c>
      <c r="C4" t="s">
        <v>62</v>
      </c>
      <c r="D4" t="s">
        <v>63</v>
      </c>
      <c r="E4" t="s">
        <v>64</v>
      </c>
      <c r="F4" t="s">
        <v>61</v>
      </c>
      <c r="G4" t="s">
        <v>62</v>
      </c>
      <c r="H4" t="s">
        <v>63</v>
      </c>
      <c r="I4" t="s">
        <v>64</v>
      </c>
    </row>
    <row r="5" spans="1:26" x14ac:dyDescent="0.3"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</row>
    <row r="6" spans="1:26" x14ac:dyDescent="0.3">
      <c r="A6" s="67">
        <v>46106</v>
      </c>
      <c r="B6" s="66">
        <v>3500</v>
      </c>
      <c r="C6" s="66">
        <v>300</v>
      </c>
      <c r="D6" s="66">
        <v>-2551.1360112175453</v>
      </c>
      <c r="E6" s="66">
        <v>1927.9801109150494</v>
      </c>
      <c r="F6" s="66">
        <v>3500</v>
      </c>
      <c r="G6" s="66">
        <v>1300</v>
      </c>
      <c r="H6" s="66">
        <v>-3462.1360112175453</v>
      </c>
      <c r="I6" s="66">
        <v>927.98011091504941</v>
      </c>
    </row>
    <row r="7" spans="1:26" x14ac:dyDescent="0.3">
      <c r="A7" s="34">
        <f>A6+1</f>
        <v>46107</v>
      </c>
      <c r="B7" s="66">
        <v>3500</v>
      </c>
      <c r="C7" s="66">
        <v>300</v>
      </c>
      <c r="D7" s="66">
        <v>-2686.3965112175456</v>
      </c>
      <c r="E7" s="66">
        <v>1482.5041109150498</v>
      </c>
      <c r="F7" s="66">
        <v>3500</v>
      </c>
      <c r="G7" s="66">
        <v>1100</v>
      </c>
      <c r="H7" s="66">
        <v>-3415.1965112175458</v>
      </c>
      <c r="I7" s="66">
        <v>682.50411091504975</v>
      </c>
    </row>
    <row r="8" spans="1:26" x14ac:dyDescent="0.3">
      <c r="A8" s="34">
        <f t="shared" ref="A8:A12" si="0">A7+1</f>
        <v>46108</v>
      </c>
      <c r="B8" s="66">
        <v>1800</v>
      </c>
      <c r="C8" s="66">
        <v>1100</v>
      </c>
      <c r="D8" s="66">
        <v>-1967.724092261155</v>
      </c>
      <c r="E8" s="66">
        <v>1922.5390000000011</v>
      </c>
      <c r="F8" s="66">
        <v>2700</v>
      </c>
      <c r="G8" s="66">
        <v>1800</v>
      </c>
      <c r="H8" s="66">
        <v>-3425.3240922611549</v>
      </c>
      <c r="I8" s="66">
        <v>322.53900000000067</v>
      </c>
    </row>
    <row r="9" spans="1:26" x14ac:dyDescent="0.3">
      <c r="A9" s="34">
        <f t="shared" si="0"/>
        <v>46109</v>
      </c>
      <c r="B9" s="66">
        <v>1800</v>
      </c>
      <c r="C9" s="66">
        <v>1000</v>
      </c>
      <c r="D9" s="66">
        <v>-1958.661592261155</v>
      </c>
      <c r="E9" s="66">
        <v>1695.1170000000002</v>
      </c>
      <c r="F9" s="66">
        <v>2700</v>
      </c>
      <c r="G9" s="66">
        <v>1700</v>
      </c>
      <c r="H9" s="66">
        <v>-3416.2615922611553</v>
      </c>
      <c r="I9" s="66">
        <v>95.117000000000189</v>
      </c>
    </row>
    <row r="10" spans="1:26" x14ac:dyDescent="0.3">
      <c r="A10" s="34">
        <f t="shared" si="0"/>
        <v>46110</v>
      </c>
      <c r="B10" s="66">
        <v>1800</v>
      </c>
      <c r="C10" s="66">
        <v>900</v>
      </c>
      <c r="D10" s="66">
        <v>-1918.900592261155</v>
      </c>
      <c r="E10" s="66">
        <v>1575.2800000000002</v>
      </c>
      <c r="F10" s="66">
        <v>2700</v>
      </c>
      <c r="G10" s="66">
        <v>1700</v>
      </c>
      <c r="H10" s="66">
        <v>-3467.6005922611553</v>
      </c>
      <c r="I10" s="66">
        <v>-124.71999999999935</v>
      </c>
    </row>
    <row r="11" spans="1:26" x14ac:dyDescent="0.3">
      <c r="A11" s="34">
        <f t="shared" si="0"/>
        <v>46111</v>
      </c>
      <c r="B11" s="66">
        <v>1800</v>
      </c>
      <c r="C11" s="66">
        <v>900</v>
      </c>
      <c r="D11" s="66">
        <v>-1949.5155922611548</v>
      </c>
      <c r="E11" s="66">
        <v>1463.8629999999998</v>
      </c>
      <c r="F11" s="66">
        <v>2700</v>
      </c>
      <c r="G11" s="66">
        <v>1700</v>
      </c>
      <c r="H11" s="66">
        <v>-3498.2155922611551</v>
      </c>
      <c r="I11" s="66">
        <v>-236.13699999999972</v>
      </c>
    </row>
    <row r="12" spans="1:26" x14ac:dyDescent="0.3">
      <c r="A12" s="34">
        <f t="shared" si="0"/>
        <v>46112</v>
      </c>
      <c r="B12" s="66">
        <v>1800</v>
      </c>
      <c r="C12" s="66">
        <v>900</v>
      </c>
      <c r="D12" s="66">
        <v>-1960.9030922611546</v>
      </c>
      <c r="E12" s="66">
        <v>1426.8889999999997</v>
      </c>
      <c r="F12" s="66">
        <v>2700</v>
      </c>
      <c r="G12" s="66">
        <v>1600</v>
      </c>
      <c r="H12" s="66">
        <v>-3418.5030922611554</v>
      </c>
      <c r="I12" s="66">
        <v>-173.11099999999897</v>
      </c>
    </row>
    <row r="15" spans="1:26" x14ac:dyDescent="0.3">
      <c r="A15" t="s">
        <v>66</v>
      </c>
      <c r="F15" t="s">
        <v>73</v>
      </c>
    </row>
    <row r="17" spans="1:9" x14ac:dyDescent="0.3">
      <c r="B17" t="s">
        <v>60</v>
      </c>
      <c r="F17" t="s">
        <v>60</v>
      </c>
    </row>
    <row r="18" spans="1:9" x14ac:dyDescent="0.3">
      <c r="B18" t="s">
        <v>61</v>
      </c>
      <c r="C18" t="s">
        <v>62</v>
      </c>
      <c r="D18" t="s">
        <v>63</v>
      </c>
      <c r="E18" t="s">
        <v>64</v>
      </c>
      <c r="F18" t="s">
        <v>61</v>
      </c>
      <c r="G18" t="s">
        <v>62</v>
      </c>
      <c r="H18" t="s">
        <v>63</v>
      </c>
      <c r="I18" t="s">
        <v>64</v>
      </c>
    </row>
    <row r="19" spans="1:9" x14ac:dyDescent="0.3"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</row>
    <row r="20" spans="1:9" x14ac:dyDescent="0.3">
      <c r="A20" s="34">
        <f>A6</f>
        <v>46106</v>
      </c>
      <c r="B20" s="66">
        <v>3500</v>
      </c>
      <c r="C20" s="66">
        <v>2900</v>
      </c>
      <c r="D20" s="66">
        <v>-4919.7360112175447</v>
      </c>
      <c r="E20" s="66">
        <v>-672.0198890849515</v>
      </c>
      <c r="F20" s="66">
        <v>3500</v>
      </c>
      <c r="G20" s="66">
        <v>4600</v>
      </c>
      <c r="H20" s="66">
        <v>-6468.4360112175455</v>
      </c>
      <c r="I20" s="66">
        <v>-2372.0198890849506</v>
      </c>
    </row>
    <row r="21" spans="1:9" x14ac:dyDescent="0.3">
      <c r="A21" s="34">
        <f t="shared" ref="A21:A26" si="1">A7</f>
        <v>46107</v>
      </c>
      <c r="B21" s="66">
        <v>3500</v>
      </c>
      <c r="C21" s="66">
        <v>2800</v>
      </c>
      <c r="D21" s="66">
        <v>-4963.8965112175456</v>
      </c>
      <c r="E21" s="66">
        <v>-1017.4958890849502</v>
      </c>
      <c r="F21" s="66">
        <v>3500</v>
      </c>
      <c r="G21" s="66">
        <v>4400</v>
      </c>
      <c r="H21" s="66">
        <v>-6421.496511217546</v>
      </c>
      <c r="I21" s="66">
        <v>-2617.4958890849502</v>
      </c>
    </row>
    <row r="22" spans="1:9" x14ac:dyDescent="0.3">
      <c r="A22" s="34">
        <f t="shared" si="1"/>
        <v>46108</v>
      </c>
      <c r="B22" s="66">
        <v>3500</v>
      </c>
      <c r="C22" s="66">
        <v>2700</v>
      </c>
      <c r="D22" s="66">
        <v>-4974.0240922611556</v>
      </c>
      <c r="E22" s="66">
        <v>-1377.4609999999993</v>
      </c>
      <c r="F22" s="66">
        <v>4200</v>
      </c>
      <c r="G22" s="66">
        <v>3600</v>
      </c>
      <c r="H22" s="66">
        <v>-6431.6240922611551</v>
      </c>
      <c r="I22" s="66">
        <v>-2977.4609999999993</v>
      </c>
    </row>
    <row r="23" spans="1:9" x14ac:dyDescent="0.3">
      <c r="A23" s="34">
        <f t="shared" si="1"/>
        <v>46109</v>
      </c>
      <c r="B23" s="66">
        <v>3500</v>
      </c>
      <c r="C23" s="66">
        <v>2600</v>
      </c>
      <c r="D23" s="66">
        <v>-4964.9615922611547</v>
      </c>
      <c r="E23" s="66">
        <v>-1604.8829999999998</v>
      </c>
      <c r="F23" s="66">
        <v>4200</v>
      </c>
      <c r="G23" s="66">
        <v>3500</v>
      </c>
      <c r="H23" s="66">
        <v>-6422.5615922611551</v>
      </c>
      <c r="I23" s="66">
        <v>-3204.8829999999998</v>
      </c>
    </row>
    <row r="24" spans="1:9" x14ac:dyDescent="0.3">
      <c r="A24" s="34">
        <f t="shared" si="1"/>
        <v>46110</v>
      </c>
      <c r="B24" s="66">
        <v>3500</v>
      </c>
      <c r="C24" s="66">
        <v>2500</v>
      </c>
      <c r="D24" s="66">
        <v>-4925.2005922611552</v>
      </c>
      <c r="E24" s="66">
        <v>-1724.7199999999993</v>
      </c>
      <c r="F24" s="66">
        <v>4200</v>
      </c>
      <c r="G24" s="66">
        <v>3500</v>
      </c>
      <c r="H24" s="66">
        <v>-6473.900592261155</v>
      </c>
      <c r="I24" s="66">
        <v>-3424.7199999999993</v>
      </c>
    </row>
    <row r="25" spans="1:9" x14ac:dyDescent="0.3">
      <c r="A25" s="34">
        <f t="shared" si="1"/>
        <v>46111</v>
      </c>
      <c r="B25" s="66">
        <v>3500</v>
      </c>
      <c r="C25" s="66">
        <v>2500</v>
      </c>
      <c r="D25" s="66">
        <v>-4955.8155922611559</v>
      </c>
      <c r="E25" s="66">
        <v>-1836.1369999999997</v>
      </c>
      <c r="F25" s="66">
        <v>4200</v>
      </c>
      <c r="G25" s="66">
        <v>3400</v>
      </c>
      <c r="H25" s="66">
        <v>-6413.4155922611553</v>
      </c>
      <c r="I25" s="66">
        <v>-3436.1370000000006</v>
      </c>
    </row>
    <row r="26" spans="1:9" x14ac:dyDescent="0.3">
      <c r="A26" s="34">
        <f t="shared" si="1"/>
        <v>46112</v>
      </c>
      <c r="B26" s="66">
        <v>3500</v>
      </c>
      <c r="C26" s="66">
        <v>2500</v>
      </c>
      <c r="D26" s="66">
        <v>-4967.2030922611557</v>
      </c>
      <c r="E26" s="66">
        <v>-1873.1109999999999</v>
      </c>
      <c r="F26" s="66">
        <v>4200</v>
      </c>
      <c r="G26" s="66">
        <v>3400</v>
      </c>
      <c r="H26" s="66">
        <v>-6424.8030922611551</v>
      </c>
      <c r="I26" s="66">
        <v>-3473.1110000000008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README</vt:lpstr>
      <vt:lpstr>ForZOI</vt:lpstr>
      <vt:lpstr>plot_example</vt:lpstr>
      <vt:lpstr>03_25_OMRI-2000</vt:lpstr>
      <vt:lpstr>03_25_OMRI -3500</vt:lpstr>
      <vt:lpstr>03_25_OMRI -5000</vt:lpstr>
      <vt:lpstr>03_25_OMRI -6500</vt:lpstr>
      <vt:lpstr>DSM2_Historic_data</vt:lpstr>
      <vt:lpstr>OMR Summary</vt:lpstr>
      <vt:lpstr>ForZOI!_Ref217293357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Witt, Adam</dc:creator>
  <cp:lastModifiedBy>Hamilton, Sarah</cp:lastModifiedBy>
  <dcterms:created xsi:type="dcterms:W3CDTF">2026-01-07T19:50:57Z</dcterms:created>
  <dcterms:modified xsi:type="dcterms:W3CDTF">2026-03-26T17:42:31Z</dcterms:modified>
</cp:coreProperties>
</file>