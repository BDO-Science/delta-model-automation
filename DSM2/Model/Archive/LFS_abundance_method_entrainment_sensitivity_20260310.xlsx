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itt\Downloads\"/>
    </mc:Choice>
  </mc:AlternateContent>
  <xr:revisionPtr revIDLastSave="0" documentId="8_{6934DDA5-55A9-4215-96CE-EB9547294A99}" xr6:coauthVersionLast="47" xr6:coauthVersionMax="47" xr10:uidLastSave="{00000000-0000-0000-0000-000000000000}"/>
  <bookViews>
    <workbookView xWindow="-96" yWindow="-96" windowWidth="23232" windowHeight="13872" xr2:uid="{4766FD0C-0215-4C52-A774-645D7D849989}"/>
  </bookViews>
  <sheets>
    <sheet name="Summary" sheetId="4" r:id="rId1"/>
    <sheet name="Week1" sheetId="1" r:id="rId2"/>
    <sheet name="Week2" sheetId="2" r:id="rId3"/>
    <sheet name="Week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L10" i="2"/>
  <c r="L13" i="1"/>
  <c r="L12" i="1"/>
  <c r="L23" i="3"/>
  <c r="L24" i="3"/>
  <c r="L22" i="3"/>
  <c r="L11" i="3"/>
  <c r="L10" i="3"/>
</calcChain>
</file>

<file path=xl/sharedStrings.xml><?xml version="1.0" encoding="utf-8"?>
<sst xmlns="http://schemas.openxmlformats.org/spreadsheetml/2006/main" count="167" uniqueCount="26">
  <si>
    <t>OMR Scenario
(cfs)</t>
  </si>
  <si>
    <t xml:space="preserve">                               Region
       Metric</t>
  </si>
  <si>
    <t>Total</t>
  </si>
  <si>
    <t>LFS Larva Abundance Estimate</t>
  </si>
  <si>
    <t>PTM Entrained (%)</t>
  </si>
  <si>
    <t>Smelt Larva Entrained (#)</t>
  </si>
  <si>
    <t>&lt;0.1</t>
  </si>
  <si>
    <t>&lt;0.1%</t>
  </si>
  <si>
    <t>Total 
(% of Delta-wide abundance)</t>
  </si>
  <si>
    <t xml:space="preserve">West </t>
  </si>
  <si>
    <t>Suisun</t>
  </si>
  <si>
    <t>Sacramento/
North Delta</t>
  </si>
  <si>
    <t>Lower San Joaquin</t>
  </si>
  <si>
    <t>Lower Sacramento</t>
  </si>
  <si>
    <t>South Delta</t>
  </si>
  <si>
    <t>East</t>
  </si>
  <si>
    <t>Design-based Method</t>
  </si>
  <si>
    <t>RESULTS SHOWN FOR Week 1</t>
  </si>
  <si>
    <t>RESULTS SHOWN FOR SLS SURVEY 5 FROM 2026-02-23T08:00:00Z, processing as of 03/10/2026</t>
  </si>
  <si>
    <t>Kimmerer Method</t>
  </si>
  <si>
    <t>RESULTS SHOWN FOR Week 3</t>
  </si>
  <si>
    <t>RESULTS SHOWN FOR Week 2</t>
  </si>
  <si>
    <t>OMR = -6,500</t>
  </si>
  <si>
    <t>OMR = -5,000</t>
  </si>
  <si>
    <t>OMR = -3,500</t>
  </si>
  <si>
    <t>OMR = -2,500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</si>
</sst>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F9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5" fillId="3" borderId="1" xfId="1" applyNumberFormat="1" applyFont="1" applyFill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2" fillId="0" borderId="0" xfId="0" applyFont="1"/>
    <xf numFmtId="0" fontId="6" fillId="4" borderId="0" xfId="0" applyFont="1" applyFill="1"/>
    <xf numFmtId="0" fontId="0" fillId="4" borderId="0" xfId="0" applyFill="1"/>
    <xf numFmtId="9" fontId="3" fillId="0" borderId="3" xfId="1" applyFont="1" applyFill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9" fontId="8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10155561409841"/>
          <c:y val="0.14520215276120785"/>
          <c:w val="0.81163002858843403"/>
          <c:h val="0.64392622639341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Week1!$A$6:$A$9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Week1!$L$10:$L$13</c:f>
              <c:numCache>
                <c:formatCode>0%</c:formatCode>
                <c:ptCount val="4"/>
                <c:pt idx="0">
                  <c:v>5.0000000000000001E-4</c:v>
                </c:pt>
                <c:pt idx="1">
                  <c:v>5.0000000000000001E-4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F-4CD5-BB5C-3EC70B6B05A7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Week1!$A$6:$A$9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Week1!$L$22:$L$25</c:f>
              <c:numCache>
                <c:formatCode>0%</c:formatCode>
                <c:ptCount val="4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F-4CD5-BB5C-3EC70B6B0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OMR Projection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  <c:max val="2.5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Delta-wide LFS Entrainment (% of total population)</a:t>
                </a:r>
              </a:p>
            </c:rich>
          </c:tx>
          <c:layout>
            <c:manualLayout>
              <c:xMode val="edge"/>
              <c:yMode val="edge"/>
              <c:x val="0.26961560102384968"/>
              <c:y val="0.89152777777777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6925928152111"/>
          <c:y val="0.16948947038185883"/>
          <c:w val="0.29357656628799261"/>
          <c:h val="0.17324884894438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10155561409841"/>
          <c:y val="0.14520215276120785"/>
          <c:w val="0.81163002858843403"/>
          <c:h val="0.64392622639341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Week2!$A$6:$A$9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Week2!$L$10:$L$13</c:f>
              <c:numCache>
                <c:formatCode>0%</c:formatCode>
                <c:ptCount val="4"/>
                <c:pt idx="0">
                  <c:v>1.1012961752275008E-3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6-48E5-813E-DB90CF2AE893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Week2!$A$6:$A$9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Week2!$L$22:$L$25</c:f>
              <c:numCache>
                <c:formatCode>0%</c:formatCode>
                <c:ptCount val="4"/>
                <c:pt idx="0">
                  <c:v>1.4070284096646131E-3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6-48E5-813E-DB90CF2AE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OMR Projection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Delta-wide LFS Entrainment (% of total population)</a:t>
                </a:r>
              </a:p>
            </c:rich>
          </c:tx>
          <c:layout>
            <c:manualLayout>
              <c:xMode val="edge"/>
              <c:yMode val="edge"/>
              <c:x val="0.26961560102384968"/>
              <c:y val="0.89152777777777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6925928152111"/>
          <c:y val="0.16948947038185883"/>
          <c:w val="0.29357656628799261"/>
          <c:h val="0.17324884894438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10155561409841"/>
          <c:y val="0.14520215276120785"/>
          <c:w val="0.81163002858843403"/>
          <c:h val="0.64392622639341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Week3!$A$6:$A$9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Week3!$L$10:$L$13</c:f>
              <c:numCache>
                <c:formatCode>0.0%</c:formatCode>
                <c:ptCount val="4"/>
                <c:pt idx="0">
                  <c:v>2.341877331866108E-3</c:v>
                </c:pt>
                <c:pt idx="1">
                  <c:v>1.3622816097868268E-3</c:v>
                </c:pt>
                <c:pt idx="2" formatCode="0%">
                  <c:v>5.0000000000000001E-4</c:v>
                </c:pt>
                <c:pt idx="3" formatCode="0%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A76-A7D6-142B24ABBFFE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Week3!$A$6:$A$9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Week3!$L$22:$L$25</c:f>
              <c:numCache>
                <c:formatCode>0.0%</c:formatCode>
                <c:ptCount val="4"/>
                <c:pt idx="0">
                  <c:v>1.9851249949004329E-3</c:v>
                </c:pt>
                <c:pt idx="1">
                  <c:v>1.4185862927199289E-3</c:v>
                </c:pt>
                <c:pt idx="2">
                  <c:v>1.0193928686506458E-3</c:v>
                </c:pt>
                <c:pt idx="3" formatCode="0%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3-4A76-A7D6-142B24ABB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OMR Projection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Delta-wide LFS Entrainment (% of total population)</a:t>
                </a:r>
              </a:p>
            </c:rich>
          </c:tx>
          <c:layout>
            <c:manualLayout>
              <c:xMode val="edge"/>
              <c:yMode val="edge"/>
              <c:x val="0.26961560102384968"/>
              <c:y val="0.89152777777777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6925928152111"/>
          <c:y val="0.16948947038185883"/>
          <c:w val="0.29357656628799261"/>
          <c:h val="0.17324884894438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6483063277682"/>
          <c:y val="4.4230159643732073E-2"/>
          <c:w val="0.78126139278604767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Week1!$C$5:$I$5</c:f>
              <c:numCache>
                <c:formatCode>#,##0</c:formatCode>
                <c:ptCount val="7"/>
                <c:pt idx="0">
                  <c:v>9538687</c:v>
                </c:pt>
                <c:pt idx="1">
                  <c:v>60954235</c:v>
                </c:pt>
                <c:pt idx="2">
                  <c:v>914595</c:v>
                </c:pt>
                <c:pt idx="3">
                  <c:v>4403423</c:v>
                </c:pt>
                <c:pt idx="4">
                  <c:v>11186757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5-4406-BCA8-BD0ED0CDCF87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Week1!$C$17:$I$17</c:f>
              <c:numCache>
                <c:formatCode>#,##0</c:formatCode>
                <c:ptCount val="7"/>
                <c:pt idx="0">
                  <c:v>50768699</c:v>
                </c:pt>
                <c:pt idx="1">
                  <c:v>95178218</c:v>
                </c:pt>
                <c:pt idx="2">
                  <c:v>668127</c:v>
                </c:pt>
                <c:pt idx="3">
                  <c:v>5799153</c:v>
                </c:pt>
                <c:pt idx="4">
                  <c:v>15566362</c:v>
                </c:pt>
                <c:pt idx="5">
                  <c:v>285263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5-4406-BCA8-BD0ED0CDC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Mean</a:t>
                </a:r>
                <a:r>
                  <a:rPr lang="en-US" sz="1800" b="1" baseline="0"/>
                  <a:t> Abundance by Region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11222245867913"/>
          <c:y val="6.6322338404060446E-2"/>
          <c:w val="0.29357656628799261"/>
          <c:h val="8.3252012960099597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Week1!$C$6:$I$6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0.15614380227508229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4-4CC3-896E-EE8FC8BE23B0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Week1!$C$18:$I$18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0.17604689826543157</c:v>
                </c:pt>
                <c:pt idx="4">
                  <c:v>0</c:v>
                </c:pt>
                <c:pt idx="5">
                  <c:v>35.81209012299891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4-4CC3-896E-EE8FC8BE2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Week2!$C$6:$I$6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0.40000000596046453</c:v>
                </c:pt>
                <c:pt idx="3">
                  <c:v>1.8249306898171256</c:v>
                </c:pt>
                <c:pt idx="4">
                  <c:v>0.10541422483496285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2-4D6F-9C9A-1BE306C29CE2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Week2!$C$18:$I$18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0.30316631870629968</c:v>
                </c:pt>
                <c:pt idx="3">
                  <c:v>1.6748316295969956</c:v>
                </c:pt>
                <c:pt idx="4">
                  <c:v>0</c:v>
                </c:pt>
                <c:pt idx="5">
                  <c:v>47.974463633730934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2-4D6F-9C9A-1BE306C29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Week3!$C$6:$I$6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1.3999999761581421</c:v>
                </c:pt>
                <c:pt idx="3">
                  <c:v>3.8279331877387484</c:v>
                </c:pt>
                <c:pt idx="4">
                  <c:v>0.20000000298023227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B-489D-BAB2-48CBA26DCA39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Week3!$C$18:$I$18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0.82941717187480968</c:v>
                </c:pt>
                <c:pt idx="3">
                  <c:v>3.0789769065541619</c:v>
                </c:pt>
                <c:pt idx="4">
                  <c:v>0</c:v>
                </c:pt>
                <c:pt idx="5">
                  <c:v>52.170875050870855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B-489D-BAB2-48CBA26DC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Week1!$C$7:$I$7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7-45DF-8206-CFF424B05807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Week1!$C$19:$I$19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29.175544249709695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7-45DF-8206-CFF424B05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Week2!$C$7:$I$7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0.10000000149011613</c:v>
                </c:pt>
                <c:pt idx="3">
                  <c:v>0.68312912477406784</c:v>
                </c:pt>
                <c:pt idx="4">
                  <c:v>0.10000000149011613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1-40D1-B40C-177C084DC2B4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Week2!$C$19:$I$19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0.75497765296328789</c:v>
                </c:pt>
                <c:pt idx="4">
                  <c:v>0</c:v>
                </c:pt>
                <c:pt idx="5">
                  <c:v>42.441180926768403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1-40D1-B40C-177C084DC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Week3!$C$7:$I$7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0.40000000596046453</c:v>
                </c:pt>
                <c:pt idx="3">
                  <c:v>1.873725580766509</c:v>
                </c:pt>
                <c:pt idx="4">
                  <c:v>0.2891715577806549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F-44E9-9C76-6F0294F71935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Week3!$C$19:$I$19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0.51470918360464135</c:v>
                </c:pt>
                <c:pt idx="3">
                  <c:v>1.7056257909461798</c:v>
                </c:pt>
                <c:pt idx="4">
                  <c:v>0</c:v>
                </c:pt>
                <c:pt idx="5">
                  <c:v>47.382794242554226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F-44E9-9C76-6F0294F71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Week1!$C$8:$I$8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5-4A51-A761-B6B33A7B26BF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Week1!$C$20:$I$20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20.977678231564703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5-4A51-A761-B6B33A7B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Week2!$C$8:$I$8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0.3318055725635376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0-40FD-B88B-088896673CB3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Week2!$C$20:$I$20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0.33491908255738306</c:v>
                </c:pt>
                <c:pt idx="4">
                  <c:v>0</c:v>
                </c:pt>
                <c:pt idx="5">
                  <c:v>37.727961734457381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0-40FD-B88B-08889667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Week3!$C$8:$I$8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0.20000000298023227</c:v>
                </c:pt>
                <c:pt idx="3">
                  <c:v>0.99782686020923195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2-4EB9-9C20-FD14F0C0D1E9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Week3!$C$20:$I$20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0.26629234060466256</c:v>
                </c:pt>
                <c:pt idx="3">
                  <c:v>0.83781126798178807</c:v>
                </c:pt>
                <c:pt idx="4">
                  <c:v>0</c:v>
                </c:pt>
                <c:pt idx="5">
                  <c:v>42.381904651474109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2-4EB9-9C20-FD14F0C0D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Week1!$C$9:$I$9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1-4549-9B08-F5403D9B2FE6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Week1!$C$21:$I$21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6.0610206679733292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1-4549-9B08-F5403D9B2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Week2!$C$9:$I$9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B-4393-B3A6-A7AA5FBCA3AE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Week2!$C$21:$I$21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26.580731085059611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B-4393-B3A6-A7AA5FBCA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Week3!$C$9:$I$9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A-4156-8840-96AF9C2EFFA3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Week3!$C$21:$I$21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0.22955855614689158</c:v>
                </c:pt>
                <c:pt idx="4">
                  <c:v>0</c:v>
                </c:pt>
                <c:pt idx="5">
                  <c:v>33.485038295626893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A-4156-8840-96AF9C2EF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6483063277682"/>
          <c:y val="4.4230159643732073E-2"/>
          <c:w val="0.78126139278604767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Week1!$C$5:$I$5</c:f>
              <c:numCache>
                <c:formatCode>#,##0</c:formatCode>
                <c:ptCount val="7"/>
                <c:pt idx="0">
                  <c:v>9538687</c:v>
                </c:pt>
                <c:pt idx="1">
                  <c:v>60954235</c:v>
                </c:pt>
                <c:pt idx="2">
                  <c:v>914595</c:v>
                </c:pt>
                <c:pt idx="3">
                  <c:v>4403423</c:v>
                </c:pt>
                <c:pt idx="4">
                  <c:v>11186757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B-4A23-ABB5-28DADAFCEABC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Week1!$C$17:$I$17</c:f>
              <c:numCache>
                <c:formatCode>#,##0</c:formatCode>
                <c:ptCount val="7"/>
                <c:pt idx="0">
                  <c:v>50768699</c:v>
                </c:pt>
                <c:pt idx="1">
                  <c:v>95178218</c:v>
                </c:pt>
                <c:pt idx="2">
                  <c:v>668127</c:v>
                </c:pt>
                <c:pt idx="3">
                  <c:v>5799153</c:v>
                </c:pt>
                <c:pt idx="4">
                  <c:v>15566362</c:v>
                </c:pt>
                <c:pt idx="5">
                  <c:v>285263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6B-4A23-ABB5-28DADAFC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Mean</a:t>
                </a:r>
                <a:r>
                  <a:rPr lang="en-US" sz="1800" b="1" baseline="0"/>
                  <a:t> Abundance by Region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11222245867913"/>
          <c:y val="6.6322338404060446E-2"/>
          <c:w val="0.29357656628799261"/>
          <c:h val="8.3252012960099597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34290</xdr:rowOff>
    </xdr:from>
    <xdr:to>
      <xdr:col>7</xdr:col>
      <xdr:colOff>510540</xdr:colOff>
      <xdr:row>17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B4094-F644-4326-89F4-4ECA695AE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21772</xdr:rowOff>
    </xdr:from>
    <xdr:to>
      <xdr:col>7</xdr:col>
      <xdr:colOff>510540</xdr:colOff>
      <xdr:row>33</xdr:row>
      <xdr:rowOff>107497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774D41-FF9A-4F15-889F-A96C69BFD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5443</xdr:rowOff>
    </xdr:from>
    <xdr:to>
      <xdr:col>7</xdr:col>
      <xdr:colOff>510540</xdr:colOff>
      <xdr:row>49</xdr:row>
      <xdr:rowOff>91168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060F00-75EE-4DE3-807A-3F9D86055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48984</xdr:colOff>
      <xdr:row>50</xdr:row>
      <xdr:rowOff>16328</xdr:rowOff>
    </xdr:from>
    <xdr:to>
      <xdr:col>18</xdr:col>
      <xdr:colOff>620484</xdr:colOff>
      <xdr:row>81</xdr:row>
      <xdr:rowOff>65314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A39F65-2DEE-430A-88AB-5A32ECE0E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5443</xdr:colOff>
      <xdr:row>2</xdr:row>
      <xdr:rowOff>38101</xdr:rowOff>
    </xdr:from>
    <xdr:to>
      <xdr:col>18</xdr:col>
      <xdr:colOff>631371</xdr:colOff>
      <xdr:row>17</xdr:row>
      <xdr:rowOff>103415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645498-E6F9-43D7-A36C-6A745369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10886</xdr:colOff>
      <xdr:row>18</xdr:row>
      <xdr:rowOff>27214</xdr:rowOff>
    </xdr:from>
    <xdr:to>
      <xdr:col>18</xdr:col>
      <xdr:colOff>636814</xdr:colOff>
      <xdr:row>33</xdr:row>
      <xdr:rowOff>92527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A9E5C2-5F30-45C1-B21E-38287F05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16328</xdr:colOff>
      <xdr:row>34</xdr:row>
      <xdr:rowOff>32657</xdr:rowOff>
    </xdr:from>
    <xdr:to>
      <xdr:col>19</xdr:col>
      <xdr:colOff>-1</xdr:colOff>
      <xdr:row>49</xdr:row>
      <xdr:rowOff>97971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2EB65A-6236-4841-93C5-EA75A1D10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5443</xdr:colOff>
      <xdr:row>2</xdr:row>
      <xdr:rowOff>38101</xdr:rowOff>
    </xdr:from>
    <xdr:to>
      <xdr:col>29</xdr:col>
      <xdr:colOff>631371</xdr:colOff>
      <xdr:row>17</xdr:row>
      <xdr:rowOff>103415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0EEC70-76A0-4277-B007-8C695687A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10886</xdr:colOff>
      <xdr:row>18</xdr:row>
      <xdr:rowOff>27214</xdr:rowOff>
    </xdr:from>
    <xdr:to>
      <xdr:col>29</xdr:col>
      <xdr:colOff>636814</xdr:colOff>
      <xdr:row>33</xdr:row>
      <xdr:rowOff>92527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2F178E-CB4C-4FC9-ACB9-927D03A7E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16328</xdr:colOff>
      <xdr:row>34</xdr:row>
      <xdr:rowOff>32657</xdr:rowOff>
    </xdr:from>
    <xdr:to>
      <xdr:col>30</xdr:col>
      <xdr:colOff>-1</xdr:colOff>
      <xdr:row>49</xdr:row>
      <xdr:rowOff>97971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534665-324D-4F82-B981-D8F7E5EC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5443</xdr:colOff>
      <xdr:row>2</xdr:row>
      <xdr:rowOff>38101</xdr:rowOff>
    </xdr:from>
    <xdr:to>
      <xdr:col>40</xdr:col>
      <xdr:colOff>631371</xdr:colOff>
      <xdr:row>17</xdr:row>
      <xdr:rowOff>103415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2E60AA4-1561-49F0-BE90-87BC48E00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10886</xdr:colOff>
      <xdr:row>18</xdr:row>
      <xdr:rowOff>27214</xdr:rowOff>
    </xdr:from>
    <xdr:to>
      <xdr:col>40</xdr:col>
      <xdr:colOff>636814</xdr:colOff>
      <xdr:row>33</xdr:row>
      <xdr:rowOff>92527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10C7E15-BDAB-44D6-B467-B853800BB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16328</xdr:colOff>
      <xdr:row>34</xdr:row>
      <xdr:rowOff>32657</xdr:rowOff>
    </xdr:from>
    <xdr:to>
      <xdr:col>41</xdr:col>
      <xdr:colOff>-1</xdr:colOff>
      <xdr:row>49</xdr:row>
      <xdr:rowOff>97971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F490F6-2640-4258-B38D-800F7C74D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41</xdr:col>
      <xdr:colOff>5443</xdr:colOff>
      <xdr:row>2</xdr:row>
      <xdr:rowOff>38101</xdr:rowOff>
    </xdr:from>
    <xdr:to>
      <xdr:col>51</xdr:col>
      <xdr:colOff>631371</xdr:colOff>
      <xdr:row>17</xdr:row>
      <xdr:rowOff>103415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DBC2D0-9664-4485-B4BF-081BF6DDD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10886</xdr:colOff>
      <xdr:row>18</xdr:row>
      <xdr:rowOff>27214</xdr:rowOff>
    </xdr:from>
    <xdr:to>
      <xdr:col>51</xdr:col>
      <xdr:colOff>636814</xdr:colOff>
      <xdr:row>33</xdr:row>
      <xdr:rowOff>92527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67FB7DF-1288-4542-AE19-010AE69D0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16328</xdr:colOff>
      <xdr:row>34</xdr:row>
      <xdr:rowOff>32657</xdr:rowOff>
    </xdr:from>
    <xdr:to>
      <xdr:col>52</xdr:col>
      <xdr:colOff>-1</xdr:colOff>
      <xdr:row>49</xdr:row>
      <xdr:rowOff>97971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E6BD4C-BDEE-4937-B098-426180DB1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21772</xdr:colOff>
      <xdr:row>81</xdr:row>
      <xdr:rowOff>152399</xdr:rowOff>
    </xdr:from>
    <xdr:to>
      <xdr:col>18</xdr:col>
      <xdr:colOff>593272</xdr:colOff>
      <xdr:row>113</xdr:row>
      <xdr:rowOff>16329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569D104-F1FD-4613-A5A0-AD324D790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0.3197</cdr:x>
      <cdr:y>0.02559</cdr:y>
    </cdr:from>
    <cdr:to>
      <cdr:x>0.68401</cdr:x>
      <cdr:y>0.12391</cdr:y>
    </cdr:to>
    <cdr:sp macro="" textlink="Week1!$A$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51181E-5213-314F-E0A6-4890B995F54D}"/>
            </a:ext>
          </a:extLst>
        </cdr:cNvPr>
        <cdr:cNvSpPr txBox="1"/>
      </cdr:nvSpPr>
      <cdr:spPr>
        <a:xfrm xmlns:a="http://schemas.openxmlformats.org/drawingml/2006/main">
          <a:off x="1965960" y="72390"/>
          <a:ext cx="2240280" cy="278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130F7BB3-3FC8-4D83-BDD4-924B7716E5B2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t>RESULTS SHOWN FOR Week 1</a:t>
          </a:fld>
          <a:endParaRPr lang="en-US" sz="18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0.3197</cdr:x>
      <cdr:y>0.02559</cdr:y>
    </cdr:from>
    <cdr:to>
      <cdr:x>0.68401</cdr:x>
      <cdr:y>0.12391</cdr:y>
    </cdr:to>
    <cdr:sp macro="" textlink="Week2!$A$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51181E-5213-314F-E0A6-4890B995F54D}"/>
            </a:ext>
          </a:extLst>
        </cdr:cNvPr>
        <cdr:cNvSpPr txBox="1"/>
      </cdr:nvSpPr>
      <cdr:spPr>
        <a:xfrm xmlns:a="http://schemas.openxmlformats.org/drawingml/2006/main">
          <a:off x="1965960" y="72390"/>
          <a:ext cx="2240280" cy="278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B3649131-BA26-4106-8E2B-77F3F7150C25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t>RESULTS SHOWN FOR Week 2</a:t>
          </a:fld>
          <a:endParaRPr lang="en-US" sz="18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0.3197</cdr:x>
      <cdr:y>0.02559</cdr:y>
    </cdr:from>
    <cdr:to>
      <cdr:x>0.68401</cdr:x>
      <cdr:y>0.12391</cdr:y>
    </cdr:to>
    <cdr:sp macro="" textlink="Week3!$A$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51181E-5213-314F-E0A6-4890B995F54D}"/>
            </a:ext>
          </a:extLst>
        </cdr:cNvPr>
        <cdr:cNvSpPr txBox="1"/>
      </cdr:nvSpPr>
      <cdr:spPr>
        <a:xfrm xmlns:a="http://schemas.openxmlformats.org/drawingml/2006/main">
          <a:off x="1965960" y="72390"/>
          <a:ext cx="2240280" cy="278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7ABB4867-E62F-40D3-8797-2136D3760C12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pPr algn="ctr"/>
            <a:t>RESULTS SHOWN FOR Week 3</a:t>
          </a:fld>
          <a:endParaRPr lang="en-US" sz="1400" b="1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7FDD-3627-4F03-9517-D3CDABD35961}">
  <dimension ref="A1:AZ2"/>
  <sheetViews>
    <sheetView tabSelected="1" topLeftCell="AB1" zoomScale="70" zoomScaleNormal="70" workbookViewId="0">
      <selection activeCell="AT2" sqref="AT2"/>
    </sheetView>
  </sheetViews>
  <sheetFormatPr defaultRowHeight="14.4" x14ac:dyDescent="0.55000000000000004"/>
  <sheetData>
    <row r="1" spans="1:52" x14ac:dyDescent="0.55000000000000004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x14ac:dyDescent="0.55000000000000004">
      <c r="M2" s="10" t="s">
        <v>22</v>
      </c>
      <c r="X2" s="10" t="s">
        <v>23</v>
      </c>
      <c r="AI2" s="10" t="s">
        <v>24</v>
      </c>
      <c r="AT2" s="10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1C2A-206D-4B5E-8B38-967946375E9C}">
  <dimension ref="A1:L25"/>
  <sheetViews>
    <sheetView workbookViewId="0">
      <selection activeCell="C14" sqref="C14"/>
    </sheetView>
  </sheetViews>
  <sheetFormatPr defaultRowHeight="14.4" x14ac:dyDescent="0.55000000000000004"/>
  <cols>
    <col min="1" max="1" width="11.41796875" customWidth="1"/>
    <col min="2" max="2" width="22.68359375" customWidth="1"/>
    <col min="5" max="5" width="15.5234375" customWidth="1"/>
    <col min="6" max="6" width="11.68359375" customWidth="1"/>
    <col min="7" max="7" width="9.9453125" customWidth="1"/>
    <col min="9" max="9" width="12.89453125" customWidth="1"/>
    <col min="10" max="10" width="13.9453125" customWidth="1"/>
    <col min="11" max="11" width="13.1015625" customWidth="1"/>
  </cols>
  <sheetData>
    <row r="1" spans="1:12" x14ac:dyDescent="0.55000000000000004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55000000000000004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55000000000000004">
      <c r="A3" s="10" t="s">
        <v>16</v>
      </c>
    </row>
    <row r="4" spans="1:12" ht="34.200000000000003" x14ac:dyDescent="0.55000000000000004">
      <c r="A4" s="2" t="s">
        <v>0</v>
      </c>
      <c r="B4" s="1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2</v>
      </c>
      <c r="K4" s="2" t="s">
        <v>8</v>
      </c>
    </row>
    <row r="5" spans="1:12" x14ac:dyDescent="0.55000000000000004">
      <c r="A5" s="3"/>
      <c r="B5" s="4" t="s">
        <v>3</v>
      </c>
      <c r="C5" s="5">
        <v>9538687</v>
      </c>
      <c r="D5" s="5">
        <v>60954235</v>
      </c>
      <c r="E5" s="5">
        <v>914595</v>
      </c>
      <c r="F5" s="5">
        <v>4403423</v>
      </c>
      <c r="G5" s="5">
        <v>11186757</v>
      </c>
      <c r="H5" s="5">
        <v>0</v>
      </c>
      <c r="I5" s="5">
        <v>0</v>
      </c>
      <c r="J5" s="5">
        <v>86997697</v>
      </c>
      <c r="K5" s="5">
        <v>0</v>
      </c>
    </row>
    <row r="6" spans="1:12" x14ac:dyDescent="0.55000000000000004">
      <c r="A6" s="6">
        <v>-6500</v>
      </c>
      <c r="B6" s="4" t="s">
        <v>4</v>
      </c>
      <c r="C6" s="7">
        <v>0</v>
      </c>
      <c r="D6" s="7">
        <v>0</v>
      </c>
      <c r="E6" s="7">
        <v>0</v>
      </c>
      <c r="F6" s="7">
        <v>0.15614380227508229</v>
      </c>
      <c r="G6" s="7">
        <v>0</v>
      </c>
      <c r="H6" s="7">
        <v>0</v>
      </c>
      <c r="I6" s="7">
        <v>0</v>
      </c>
      <c r="J6" s="3"/>
      <c r="K6" s="3"/>
    </row>
    <row r="7" spans="1:12" x14ac:dyDescent="0.55000000000000004">
      <c r="A7" s="6">
        <v>-5000</v>
      </c>
      <c r="B7" s="4" t="s">
        <v>4</v>
      </c>
      <c r="C7" s="7">
        <v>0</v>
      </c>
      <c r="D7" s="7">
        <v>0</v>
      </c>
      <c r="E7" s="7">
        <v>0</v>
      </c>
      <c r="F7" s="7" t="s">
        <v>6</v>
      </c>
      <c r="G7" s="7">
        <v>0</v>
      </c>
      <c r="H7" s="7">
        <v>0</v>
      </c>
      <c r="I7" s="7">
        <v>0</v>
      </c>
      <c r="J7" s="3"/>
      <c r="K7" s="3"/>
    </row>
    <row r="8" spans="1:12" x14ac:dyDescent="0.55000000000000004">
      <c r="A8" s="6">
        <v>-3500</v>
      </c>
      <c r="B8" s="4" t="s">
        <v>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3"/>
      <c r="K8" s="3"/>
    </row>
    <row r="9" spans="1:12" x14ac:dyDescent="0.55000000000000004">
      <c r="A9" s="6">
        <v>-2000</v>
      </c>
      <c r="B9" s="4" t="s">
        <v>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3"/>
      <c r="K9" s="3"/>
    </row>
    <row r="10" spans="1:12" x14ac:dyDescent="0.55000000000000004">
      <c r="A10" s="6">
        <v>-6500</v>
      </c>
      <c r="B10" s="4" t="s">
        <v>5</v>
      </c>
      <c r="C10" s="8">
        <v>0</v>
      </c>
      <c r="D10" s="8">
        <v>0</v>
      </c>
      <c r="E10" s="8">
        <v>0</v>
      </c>
      <c r="F10" s="8">
        <v>6875.6721024554972</v>
      </c>
      <c r="G10" s="8">
        <v>0</v>
      </c>
      <c r="H10" s="8">
        <v>0</v>
      </c>
      <c r="I10" s="8">
        <v>0</v>
      </c>
      <c r="J10" s="8">
        <v>6875.6721024554972</v>
      </c>
      <c r="K10" s="9" t="s">
        <v>7</v>
      </c>
      <c r="L10" s="13">
        <v>5.0000000000000001E-4</v>
      </c>
    </row>
    <row r="11" spans="1:12" x14ac:dyDescent="0.55000000000000004">
      <c r="A11" s="6">
        <v>-5000</v>
      </c>
      <c r="B11" s="4" t="s">
        <v>5</v>
      </c>
      <c r="C11" s="8">
        <v>0</v>
      </c>
      <c r="D11" s="8">
        <v>0</v>
      </c>
      <c r="E11" s="8">
        <v>0</v>
      </c>
      <c r="F11" s="8">
        <v>859.45901280693715</v>
      </c>
      <c r="G11" s="8">
        <v>0</v>
      </c>
      <c r="H11" s="8">
        <v>0</v>
      </c>
      <c r="I11" s="8">
        <v>0</v>
      </c>
      <c r="J11" s="8">
        <v>859.45901280693715</v>
      </c>
      <c r="K11" s="9" t="s">
        <v>7</v>
      </c>
      <c r="L11" s="13">
        <v>5.0000000000000001E-4</v>
      </c>
    </row>
    <row r="12" spans="1:12" x14ac:dyDescent="0.55000000000000004">
      <c r="A12" s="6">
        <v>-3500</v>
      </c>
      <c r="B12" s="4" t="s">
        <v>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9">
        <v>0</v>
      </c>
      <c r="L12" s="16">
        <f>K12</f>
        <v>0</v>
      </c>
    </row>
    <row r="13" spans="1:12" x14ac:dyDescent="0.55000000000000004">
      <c r="A13" s="6">
        <v>-2000</v>
      </c>
      <c r="B13" s="4" t="s">
        <v>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16">
        <f>K13</f>
        <v>0</v>
      </c>
    </row>
    <row r="15" spans="1:12" x14ac:dyDescent="0.55000000000000004">
      <c r="A15" s="10" t="s">
        <v>19</v>
      </c>
    </row>
    <row r="16" spans="1:12" ht="34.200000000000003" x14ac:dyDescent="0.55000000000000004">
      <c r="A16" s="2" t="s">
        <v>0</v>
      </c>
      <c r="B16" s="1" t="s">
        <v>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2</v>
      </c>
      <c r="K16" s="2" t="s">
        <v>8</v>
      </c>
    </row>
    <row r="17" spans="1:12" x14ac:dyDescent="0.55000000000000004">
      <c r="A17" s="3"/>
      <c r="B17" s="4" t="s">
        <v>3</v>
      </c>
      <c r="C17" s="5">
        <v>50768699</v>
      </c>
      <c r="D17" s="5">
        <v>95178218</v>
      </c>
      <c r="E17" s="5">
        <v>668127</v>
      </c>
      <c r="F17" s="5">
        <v>5799153</v>
      </c>
      <c r="G17" s="5">
        <v>15566362</v>
      </c>
      <c r="H17" s="5">
        <v>285263</v>
      </c>
      <c r="I17" s="5">
        <v>0</v>
      </c>
      <c r="J17" s="5">
        <v>168265822</v>
      </c>
      <c r="K17" s="5">
        <v>0</v>
      </c>
    </row>
    <row r="18" spans="1:12" x14ac:dyDescent="0.55000000000000004">
      <c r="A18" s="6">
        <v>-6500</v>
      </c>
      <c r="B18" s="4" t="s">
        <v>4</v>
      </c>
      <c r="C18" s="7">
        <v>0</v>
      </c>
      <c r="D18" s="7">
        <v>0</v>
      </c>
      <c r="E18" s="7">
        <v>0</v>
      </c>
      <c r="F18" s="7">
        <v>0.17604689826543157</v>
      </c>
      <c r="G18" s="7">
        <v>0</v>
      </c>
      <c r="H18" s="7">
        <v>35.81209012299891</v>
      </c>
      <c r="I18" s="7">
        <v>0</v>
      </c>
      <c r="J18" s="3"/>
      <c r="K18" s="3"/>
    </row>
    <row r="19" spans="1:12" x14ac:dyDescent="0.55000000000000004">
      <c r="A19" s="6">
        <v>-5000</v>
      </c>
      <c r="B19" s="4" t="s">
        <v>4</v>
      </c>
      <c r="C19" s="7">
        <v>0</v>
      </c>
      <c r="D19" s="7">
        <v>0</v>
      </c>
      <c r="E19" s="7">
        <v>0</v>
      </c>
      <c r="F19" s="7" t="s">
        <v>6</v>
      </c>
      <c r="G19" s="7">
        <v>0</v>
      </c>
      <c r="H19" s="7">
        <v>29.175544249709695</v>
      </c>
      <c r="I19" s="7">
        <v>0</v>
      </c>
      <c r="J19" s="3"/>
      <c r="K19" s="3"/>
    </row>
    <row r="20" spans="1:12" x14ac:dyDescent="0.55000000000000004">
      <c r="A20" s="6">
        <v>-3500</v>
      </c>
      <c r="B20" s="4" t="s">
        <v>4</v>
      </c>
      <c r="C20" s="7">
        <v>0</v>
      </c>
      <c r="D20" s="7">
        <v>0</v>
      </c>
      <c r="E20" s="7">
        <v>0</v>
      </c>
      <c r="F20" s="7" t="s">
        <v>6</v>
      </c>
      <c r="G20" s="7">
        <v>0</v>
      </c>
      <c r="H20" s="7">
        <v>20.977678231564703</v>
      </c>
      <c r="I20" s="7">
        <v>0</v>
      </c>
      <c r="J20" s="3"/>
      <c r="K20" s="3"/>
    </row>
    <row r="21" spans="1:12" x14ac:dyDescent="0.55000000000000004">
      <c r="A21" s="6">
        <v>-2000</v>
      </c>
      <c r="B21" s="4" t="s">
        <v>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6.0610206679733292</v>
      </c>
      <c r="I21" s="7">
        <v>0</v>
      </c>
      <c r="J21" s="3"/>
      <c r="K21" s="3"/>
    </row>
    <row r="22" spans="1:12" x14ac:dyDescent="0.55000000000000004">
      <c r="A22" s="6">
        <v>-6500</v>
      </c>
      <c r="B22" s="4" t="s">
        <v>5</v>
      </c>
      <c r="C22" s="8">
        <v>0</v>
      </c>
      <c r="D22" s="8">
        <v>0</v>
      </c>
      <c r="E22" s="8">
        <v>0</v>
      </c>
      <c r="F22" s="8">
        <v>10209.228982166722</v>
      </c>
      <c r="G22" s="8">
        <v>0</v>
      </c>
      <c r="H22" s="8">
        <v>102158.64264757039</v>
      </c>
      <c r="I22" s="8">
        <v>0</v>
      </c>
      <c r="J22" s="8">
        <v>112367.87162973711</v>
      </c>
      <c r="K22" s="9" t="s">
        <v>7</v>
      </c>
      <c r="L22" s="13">
        <v>5.0000000000000001E-4</v>
      </c>
    </row>
    <row r="23" spans="1:12" x14ac:dyDescent="0.55000000000000004">
      <c r="A23" s="6">
        <v>-5000</v>
      </c>
      <c r="B23" s="4" t="s">
        <v>5</v>
      </c>
      <c r="C23" s="8">
        <v>0</v>
      </c>
      <c r="D23" s="8">
        <v>0</v>
      </c>
      <c r="E23" s="8">
        <v>0</v>
      </c>
      <c r="F23" s="8">
        <v>3802.0000566542149</v>
      </c>
      <c r="G23" s="8">
        <v>0</v>
      </c>
      <c r="H23" s="8">
        <v>83227.032793049366</v>
      </c>
      <c r="I23" s="8">
        <v>0</v>
      </c>
      <c r="J23" s="8">
        <v>87029.032849703581</v>
      </c>
      <c r="K23" s="9" t="s">
        <v>7</v>
      </c>
      <c r="L23" s="13">
        <v>5.0000000000000001E-4</v>
      </c>
    </row>
    <row r="24" spans="1:12" x14ac:dyDescent="0.55000000000000004">
      <c r="A24" s="6">
        <v>-3500</v>
      </c>
      <c r="B24" s="4" t="s">
        <v>5</v>
      </c>
      <c r="C24" s="8">
        <v>0</v>
      </c>
      <c r="D24" s="8">
        <v>0</v>
      </c>
      <c r="E24" s="8">
        <v>0</v>
      </c>
      <c r="F24" s="8">
        <v>760.40001133084309</v>
      </c>
      <c r="G24" s="8">
        <v>0</v>
      </c>
      <c r="H24" s="8">
        <v>59841.554253708418</v>
      </c>
      <c r="I24" s="8">
        <v>0</v>
      </c>
      <c r="J24" s="8">
        <v>60601.954265039261</v>
      </c>
      <c r="K24" s="9" t="s">
        <v>7</v>
      </c>
      <c r="L24" s="13">
        <v>5.0000000000000001E-4</v>
      </c>
    </row>
    <row r="25" spans="1:12" x14ac:dyDescent="0.55000000000000004">
      <c r="A25" s="6">
        <v>-2000</v>
      </c>
      <c r="B25" s="4" t="s">
        <v>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17289.849388080758</v>
      </c>
      <c r="I25" s="8">
        <v>0</v>
      </c>
      <c r="J25" s="8">
        <v>17289.849388080758</v>
      </c>
      <c r="K25" s="9" t="s">
        <v>7</v>
      </c>
      <c r="L25" s="13">
        <v>5.0000000000000001E-4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B941-CFB9-476B-A918-1E24B4BA89C4}">
  <dimension ref="A1:L25"/>
  <sheetViews>
    <sheetView workbookViewId="0">
      <selection activeCell="L25" sqref="L25"/>
    </sheetView>
  </sheetViews>
  <sheetFormatPr defaultRowHeight="14.4" x14ac:dyDescent="0.55000000000000004"/>
  <cols>
    <col min="1" max="1" width="11.41796875" customWidth="1"/>
    <col min="2" max="2" width="22.68359375" customWidth="1"/>
    <col min="5" max="5" width="15.5234375" customWidth="1"/>
    <col min="6" max="6" width="11.68359375" customWidth="1"/>
    <col min="7" max="7" width="9.9453125" customWidth="1"/>
    <col min="9" max="9" width="12.89453125" customWidth="1"/>
    <col min="10" max="10" width="13.9453125" customWidth="1"/>
    <col min="11" max="11" width="13.1015625" customWidth="1"/>
  </cols>
  <sheetData>
    <row r="1" spans="1:12" x14ac:dyDescent="0.55000000000000004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55000000000000004">
      <c r="A2" s="1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55000000000000004">
      <c r="A3" s="10" t="s">
        <v>16</v>
      </c>
    </row>
    <row r="4" spans="1:12" ht="34.200000000000003" x14ac:dyDescent="0.55000000000000004">
      <c r="A4" s="2" t="s">
        <v>0</v>
      </c>
      <c r="B4" s="1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2</v>
      </c>
      <c r="K4" s="2" t="s">
        <v>8</v>
      </c>
    </row>
    <row r="5" spans="1:12" x14ac:dyDescent="0.55000000000000004">
      <c r="A5" s="3"/>
      <c r="B5" s="4" t="s">
        <v>3</v>
      </c>
      <c r="C5" s="5">
        <v>9538687</v>
      </c>
      <c r="D5" s="5">
        <v>60954235</v>
      </c>
      <c r="E5" s="5">
        <v>914595</v>
      </c>
      <c r="F5" s="5">
        <v>4403423</v>
      </c>
      <c r="G5" s="5">
        <v>11186757</v>
      </c>
      <c r="H5" s="5">
        <v>0</v>
      </c>
      <c r="I5" s="5">
        <v>0</v>
      </c>
      <c r="J5" s="5">
        <v>86997697</v>
      </c>
      <c r="K5" s="5">
        <v>0</v>
      </c>
    </row>
    <row r="6" spans="1:12" x14ac:dyDescent="0.55000000000000004">
      <c r="A6" s="6">
        <v>-6500</v>
      </c>
      <c r="B6" s="4" t="s">
        <v>4</v>
      </c>
      <c r="C6" s="7">
        <v>0</v>
      </c>
      <c r="D6" s="7">
        <v>0</v>
      </c>
      <c r="E6" s="7">
        <v>0.40000000596046453</v>
      </c>
      <c r="F6" s="7">
        <v>1.8249306898171256</v>
      </c>
      <c r="G6" s="7">
        <v>0.10541422483496285</v>
      </c>
      <c r="H6" s="7">
        <v>0</v>
      </c>
      <c r="I6" s="7">
        <v>0</v>
      </c>
      <c r="J6" s="3"/>
      <c r="K6" s="3"/>
    </row>
    <row r="7" spans="1:12" x14ac:dyDescent="0.55000000000000004">
      <c r="A7" s="6">
        <v>-5000</v>
      </c>
      <c r="B7" s="4" t="s">
        <v>4</v>
      </c>
      <c r="C7" s="7">
        <v>0</v>
      </c>
      <c r="D7" s="7">
        <v>0</v>
      </c>
      <c r="E7" s="7">
        <v>0.10000000149011613</v>
      </c>
      <c r="F7" s="7">
        <v>0.68312912477406784</v>
      </c>
      <c r="G7" s="7">
        <v>0.10000000149011613</v>
      </c>
      <c r="H7" s="7">
        <v>0</v>
      </c>
      <c r="I7" s="7">
        <v>0</v>
      </c>
      <c r="J7" s="3"/>
      <c r="K7" s="3"/>
    </row>
    <row r="8" spans="1:12" x14ac:dyDescent="0.55000000000000004">
      <c r="A8" s="6">
        <v>-3500</v>
      </c>
      <c r="B8" s="4" t="s">
        <v>4</v>
      </c>
      <c r="C8" s="7">
        <v>0</v>
      </c>
      <c r="D8" s="7">
        <v>0</v>
      </c>
      <c r="E8" s="7">
        <v>0</v>
      </c>
      <c r="F8" s="7">
        <v>0.3318055725635376</v>
      </c>
      <c r="G8" s="7">
        <v>0</v>
      </c>
      <c r="H8" s="7">
        <v>0</v>
      </c>
      <c r="I8" s="7">
        <v>0</v>
      </c>
      <c r="J8" s="3"/>
      <c r="K8" s="3"/>
    </row>
    <row r="9" spans="1:12" x14ac:dyDescent="0.55000000000000004">
      <c r="A9" s="6">
        <v>-2000</v>
      </c>
      <c r="B9" s="4" t="s">
        <v>4</v>
      </c>
      <c r="C9" s="7">
        <v>0</v>
      </c>
      <c r="D9" s="7">
        <v>0</v>
      </c>
      <c r="E9" s="7">
        <v>0</v>
      </c>
      <c r="F9" s="7" t="s">
        <v>6</v>
      </c>
      <c r="G9" s="7">
        <v>0</v>
      </c>
      <c r="H9" s="7">
        <v>0</v>
      </c>
      <c r="I9" s="7">
        <v>0</v>
      </c>
      <c r="J9" s="3"/>
      <c r="K9" s="3"/>
    </row>
    <row r="10" spans="1:12" x14ac:dyDescent="0.55000000000000004">
      <c r="A10" s="6">
        <v>-6500</v>
      </c>
      <c r="B10" s="4" t="s">
        <v>5</v>
      </c>
      <c r="C10" s="8">
        <v>0</v>
      </c>
      <c r="D10" s="8">
        <v>0</v>
      </c>
      <c r="E10" s="8">
        <v>3658.3800545141103</v>
      </c>
      <c r="F10" s="8">
        <v>80359.41772946596</v>
      </c>
      <c r="G10" s="8">
        <v>11792.433175720946</v>
      </c>
      <c r="H10" s="8">
        <v>0</v>
      </c>
      <c r="I10" s="8">
        <v>0</v>
      </c>
      <c r="J10" s="8">
        <v>95810.230959701017</v>
      </c>
      <c r="K10" s="9">
        <v>1.1012961752275008E-3</v>
      </c>
      <c r="L10" s="13">
        <f>K10</f>
        <v>1.1012961752275008E-3</v>
      </c>
    </row>
    <row r="11" spans="1:12" x14ac:dyDescent="0.55000000000000004">
      <c r="A11" s="6">
        <v>-5000</v>
      </c>
      <c r="B11" s="4" t="s">
        <v>5</v>
      </c>
      <c r="C11" s="8">
        <v>0</v>
      </c>
      <c r="D11" s="8">
        <v>0</v>
      </c>
      <c r="E11" s="8">
        <v>914.59501362852757</v>
      </c>
      <c r="F11" s="8">
        <v>30081.065000000002</v>
      </c>
      <c r="G11" s="8">
        <v>11186.75716669567</v>
      </c>
      <c r="H11" s="8">
        <v>0</v>
      </c>
      <c r="I11" s="8">
        <v>0</v>
      </c>
      <c r="J11" s="8">
        <v>42182.417180324199</v>
      </c>
      <c r="K11" s="9" t="s">
        <v>7</v>
      </c>
      <c r="L11" s="13">
        <v>5.0000000000000001E-4</v>
      </c>
    </row>
    <row r="12" spans="1:12" x14ac:dyDescent="0.55000000000000004">
      <c r="A12" s="6">
        <v>-3500</v>
      </c>
      <c r="B12" s="4" t="s">
        <v>5</v>
      </c>
      <c r="C12" s="8">
        <v>0</v>
      </c>
      <c r="D12" s="8">
        <v>0</v>
      </c>
      <c r="E12" s="8">
        <v>0</v>
      </c>
      <c r="F12" s="8">
        <v>14610.802897544503</v>
      </c>
      <c r="G12" s="8">
        <v>0</v>
      </c>
      <c r="H12" s="8">
        <v>0</v>
      </c>
      <c r="I12" s="8">
        <v>0</v>
      </c>
      <c r="J12" s="8">
        <v>14610.802897544503</v>
      </c>
      <c r="K12" s="9" t="s">
        <v>7</v>
      </c>
      <c r="L12" s="13">
        <v>5.0000000000000001E-4</v>
      </c>
    </row>
    <row r="13" spans="1:12" x14ac:dyDescent="0.55000000000000004">
      <c r="A13" s="6">
        <v>-2000</v>
      </c>
      <c r="B13" s="4" t="s">
        <v>5</v>
      </c>
      <c r="C13" s="8">
        <v>0</v>
      </c>
      <c r="D13" s="8">
        <v>0</v>
      </c>
      <c r="E13" s="8">
        <v>0</v>
      </c>
      <c r="F13" s="8">
        <v>859.45901280693715</v>
      </c>
      <c r="G13" s="8">
        <v>0</v>
      </c>
      <c r="H13" s="8">
        <v>0</v>
      </c>
      <c r="I13" s="8">
        <v>0</v>
      </c>
      <c r="J13" s="8">
        <v>859.45901280693715</v>
      </c>
      <c r="K13" s="9" t="s">
        <v>7</v>
      </c>
      <c r="L13" s="13">
        <v>5.0000000000000001E-4</v>
      </c>
    </row>
    <row r="15" spans="1:12" x14ac:dyDescent="0.55000000000000004">
      <c r="A15" s="10" t="s">
        <v>19</v>
      </c>
    </row>
    <row r="16" spans="1:12" ht="34.200000000000003" x14ac:dyDescent="0.55000000000000004">
      <c r="A16" s="2" t="s">
        <v>0</v>
      </c>
      <c r="B16" s="1" t="s">
        <v>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2</v>
      </c>
      <c r="K16" s="2" t="s">
        <v>8</v>
      </c>
    </row>
    <row r="17" spans="1:12" x14ac:dyDescent="0.55000000000000004">
      <c r="A17" s="3"/>
      <c r="B17" s="4" t="s">
        <v>3</v>
      </c>
      <c r="C17" s="5">
        <v>50768699</v>
      </c>
      <c r="D17" s="5">
        <v>95178218</v>
      </c>
      <c r="E17" s="5">
        <v>668127</v>
      </c>
      <c r="F17" s="5">
        <v>5799153</v>
      </c>
      <c r="G17" s="5">
        <v>15566362</v>
      </c>
      <c r="H17" s="5">
        <v>285263</v>
      </c>
      <c r="I17" s="5">
        <v>0</v>
      </c>
      <c r="J17" s="5">
        <v>168265822</v>
      </c>
      <c r="K17" s="5">
        <v>0</v>
      </c>
    </row>
    <row r="18" spans="1:12" x14ac:dyDescent="0.55000000000000004">
      <c r="A18" s="6">
        <v>-6500</v>
      </c>
      <c r="B18" s="4" t="s">
        <v>4</v>
      </c>
      <c r="C18" s="7">
        <v>0</v>
      </c>
      <c r="D18" s="7">
        <v>0</v>
      </c>
      <c r="E18" s="7">
        <v>0.30316631870629968</v>
      </c>
      <c r="F18" s="7">
        <v>1.6748316295969956</v>
      </c>
      <c r="G18" s="7" t="s">
        <v>6</v>
      </c>
      <c r="H18" s="7">
        <v>47.974463633730934</v>
      </c>
      <c r="I18" s="7">
        <v>0</v>
      </c>
      <c r="J18" s="3"/>
      <c r="K18" s="3"/>
    </row>
    <row r="19" spans="1:12" x14ac:dyDescent="0.55000000000000004">
      <c r="A19" s="6">
        <v>-5000</v>
      </c>
      <c r="B19" s="4" t="s">
        <v>4</v>
      </c>
      <c r="C19" s="7">
        <v>0</v>
      </c>
      <c r="D19" s="7">
        <v>0</v>
      </c>
      <c r="E19" s="7" t="s">
        <v>6</v>
      </c>
      <c r="F19" s="7">
        <v>0.75497765296328789</v>
      </c>
      <c r="G19" s="7" t="s">
        <v>6</v>
      </c>
      <c r="H19" s="7">
        <v>42.441180926768403</v>
      </c>
      <c r="I19" s="7">
        <v>0</v>
      </c>
      <c r="J19" s="3"/>
      <c r="K19" s="3"/>
    </row>
    <row r="20" spans="1:12" x14ac:dyDescent="0.55000000000000004">
      <c r="A20" s="6">
        <v>-3500</v>
      </c>
      <c r="B20" s="4" t="s">
        <v>4</v>
      </c>
      <c r="C20" s="7">
        <v>0</v>
      </c>
      <c r="D20" s="7">
        <v>0</v>
      </c>
      <c r="E20" s="7" t="s">
        <v>6</v>
      </c>
      <c r="F20" s="7">
        <v>0.33491908255738306</v>
      </c>
      <c r="G20" s="7" t="s">
        <v>6</v>
      </c>
      <c r="H20" s="7">
        <v>37.727961734457381</v>
      </c>
      <c r="I20" s="7">
        <v>0</v>
      </c>
      <c r="J20" s="3"/>
      <c r="K20" s="3"/>
    </row>
    <row r="21" spans="1:12" x14ac:dyDescent="0.55000000000000004">
      <c r="A21" s="6">
        <v>-2000</v>
      </c>
      <c r="B21" s="4" t="s">
        <v>4</v>
      </c>
      <c r="C21" s="7">
        <v>0</v>
      </c>
      <c r="D21" s="7">
        <v>0</v>
      </c>
      <c r="E21" s="7">
        <v>0</v>
      </c>
      <c r="F21" s="7" t="s">
        <v>6</v>
      </c>
      <c r="G21" s="7">
        <v>0</v>
      </c>
      <c r="H21" s="7">
        <v>26.580731085059611</v>
      </c>
      <c r="I21" s="7">
        <v>0</v>
      </c>
      <c r="J21" s="3"/>
      <c r="K21" s="3"/>
    </row>
    <row r="22" spans="1:12" x14ac:dyDescent="0.55000000000000004">
      <c r="A22" s="6">
        <v>-6500</v>
      </c>
      <c r="B22" s="4" t="s">
        <v>5</v>
      </c>
      <c r="C22" s="8">
        <v>0</v>
      </c>
      <c r="D22" s="8">
        <v>0</v>
      </c>
      <c r="E22" s="8">
        <v>2025.5360301828387</v>
      </c>
      <c r="F22" s="8">
        <v>97126.048692723067</v>
      </c>
      <c r="G22" s="8">
        <v>749.81301117308442</v>
      </c>
      <c r="H22" s="8">
        <v>136853.39419548988</v>
      </c>
      <c r="I22" s="8">
        <v>0</v>
      </c>
      <c r="J22" s="8">
        <v>236754.79192956886</v>
      </c>
      <c r="K22" s="9">
        <v>1.4070284096646131E-3</v>
      </c>
      <c r="L22" s="13">
        <f>K22</f>
        <v>1.4070284096646131E-3</v>
      </c>
    </row>
    <row r="23" spans="1:12" x14ac:dyDescent="0.55000000000000004">
      <c r="A23" s="6">
        <v>-5000</v>
      </c>
      <c r="B23" s="4" t="s">
        <v>5</v>
      </c>
      <c r="C23" s="8">
        <v>0</v>
      </c>
      <c r="D23" s="8">
        <v>0</v>
      </c>
      <c r="E23" s="8">
        <v>140.58600209489467</v>
      </c>
      <c r="F23" s="8">
        <v>43782.309211150103</v>
      </c>
      <c r="G23" s="8">
        <v>818.13002530202289</v>
      </c>
      <c r="H23" s="8">
        <v>121068.98594712735</v>
      </c>
      <c r="I23" s="8">
        <v>0</v>
      </c>
      <c r="J23" s="8">
        <v>165810.01118567438</v>
      </c>
      <c r="K23" s="9" t="s">
        <v>7</v>
      </c>
      <c r="L23" s="13">
        <v>5.0000000000000001E-4</v>
      </c>
    </row>
    <row r="24" spans="1:12" x14ac:dyDescent="0.55000000000000004">
      <c r="A24" s="6">
        <v>-3500</v>
      </c>
      <c r="B24" s="4" t="s">
        <v>5</v>
      </c>
      <c r="C24" s="8">
        <v>0</v>
      </c>
      <c r="D24" s="8">
        <v>0</v>
      </c>
      <c r="E24" s="8">
        <v>204.05500304065646</v>
      </c>
      <c r="F24" s="8">
        <v>19422.470023698956</v>
      </c>
      <c r="G24" s="8">
        <v>87.986001311093574</v>
      </c>
      <c r="H24" s="8">
        <v>107623.91548256516</v>
      </c>
      <c r="I24" s="8">
        <v>0</v>
      </c>
      <c r="J24" s="8">
        <v>127338.42651061587</v>
      </c>
      <c r="K24" s="9" t="s">
        <v>7</v>
      </c>
      <c r="L24" s="13">
        <v>5.0000000000000001E-4</v>
      </c>
    </row>
    <row r="25" spans="1:12" x14ac:dyDescent="0.55000000000000004">
      <c r="A25" s="6">
        <v>-2000</v>
      </c>
      <c r="B25" s="4" t="s">
        <v>5</v>
      </c>
      <c r="C25" s="8">
        <v>0</v>
      </c>
      <c r="D25" s="8">
        <v>0</v>
      </c>
      <c r="E25" s="8">
        <v>0</v>
      </c>
      <c r="F25" s="8">
        <v>4209.0179777379335</v>
      </c>
      <c r="G25" s="8">
        <v>0</v>
      </c>
      <c r="H25" s="8">
        <v>75824.990915173592</v>
      </c>
      <c r="I25" s="8">
        <v>0</v>
      </c>
      <c r="J25" s="8">
        <v>80034.00889291153</v>
      </c>
      <c r="K25" s="9" t="s">
        <v>7</v>
      </c>
      <c r="L25" s="13">
        <v>5.0000000000000001E-4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F3C4-9124-4B2C-A930-99509DB914C0}">
  <dimension ref="A1:L25"/>
  <sheetViews>
    <sheetView workbookViewId="0">
      <selection activeCell="N15" sqref="N15"/>
    </sheetView>
  </sheetViews>
  <sheetFormatPr defaultRowHeight="14.4" x14ac:dyDescent="0.55000000000000004"/>
  <cols>
    <col min="1" max="1" width="11.41796875" customWidth="1"/>
    <col min="2" max="2" width="22.68359375" customWidth="1"/>
    <col min="5" max="5" width="15.5234375" customWidth="1"/>
    <col min="6" max="6" width="11.68359375" customWidth="1"/>
    <col min="7" max="7" width="9.9453125" customWidth="1"/>
    <col min="9" max="9" width="12.89453125" customWidth="1"/>
    <col min="10" max="10" width="13.9453125" customWidth="1"/>
    <col min="11" max="11" width="13.1015625" customWidth="1"/>
  </cols>
  <sheetData>
    <row r="1" spans="1:12" x14ac:dyDescent="0.55000000000000004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55000000000000004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55000000000000004">
      <c r="A3" s="10" t="s">
        <v>16</v>
      </c>
    </row>
    <row r="4" spans="1:12" ht="34.200000000000003" x14ac:dyDescent="0.55000000000000004">
      <c r="A4" s="2" t="s">
        <v>0</v>
      </c>
      <c r="B4" s="1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2</v>
      </c>
      <c r="K4" s="2" t="s">
        <v>8</v>
      </c>
    </row>
    <row r="5" spans="1:12" x14ac:dyDescent="0.55000000000000004">
      <c r="A5" s="3"/>
      <c r="B5" s="4" t="s">
        <v>3</v>
      </c>
      <c r="C5" s="5">
        <v>9538687</v>
      </c>
      <c r="D5" s="5">
        <v>60954235</v>
      </c>
      <c r="E5" s="5">
        <v>914595</v>
      </c>
      <c r="F5" s="5">
        <v>4403423</v>
      </c>
      <c r="G5" s="5">
        <v>11186757</v>
      </c>
      <c r="H5" s="5">
        <v>0</v>
      </c>
      <c r="I5" s="5">
        <v>0</v>
      </c>
      <c r="J5" s="5">
        <v>86997697</v>
      </c>
      <c r="K5" s="5">
        <v>0</v>
      </c>
    </row>
    <row r="6" spans="1:12" x14ac:dyDescent="0.55000000000000004">
      <c r="A6" s="6">
        <v>-6500</v>
      </c>
      <c r="B6" s="4" t="s">
        <v>4</v>
      </c>
      <c r="C6" s="7">
        <v>0</v>
      </c>
      <c r="D6" s="7">
        <v>0</v>
      </c>
      <c r="E6" s="7">
        <v>1.3999999761581421</v>
      </c>
      <c r="F6" s="7">
        <v>3.8279331877387484</v>
      </c>
      <c r="G6" s="7">
        <v>0.20000000298023227</v>
      </c>
      <c r="H6" s="7">
        <v>0</v>
      </c>
      <c r="I6" s="7">
        <v>0</v>
      </c>
      <c r="J6" s="3"/>
      <c r="K6" s="3"/>
    </row>
    <row r="7" spans="1:12" x14ac:dyDescent="0.55000000000000004">
      <c r="A7" s="6">
        <v>-5000</v>
      </c>
      <c r="B7" s="4" t="s">
        <v>4</v>
      </c>
      <c r="C7" s="7">
        <v>0</v>
      </c>
      <c r="D7" s="7">
        <v>0</v>
      </c>
      <c r="E7" s="7">
        <v>0.40000000596046453</v>
      </c>
      <c r="F7" s="7">
        <v>1.873725580766509</v>
      </c>
      <c r="G7" s="7">
        <v>0.2891715577806549</v>
      </c>
      <c r="H7" s="7">
        <v>0</v>
      </c>
      <c r="I7" s="7">
        <v>0</v>
      </c>
      <c r="J7" s="3"/>
      <c r="K7" s="3"/>
    </row>
    <row r="8" spans="1:12" x14ac:dyDescent="0.55000000000000004">
      <c r="A8" s="6">
        <v>-3500</v>
      </c>
      <c r="B8" s="4" t="s">
        <v>4</v>
      </c>
      <c r="C8" s="7">
        <v>0</v>
      </c>
      <c r="D8" s="7">
        <v>0</v>
      </c>
      <c r="E8" s="7">
        <v>0.20000000298023227</v>
      </c>
      <c r="F8" s="7">
        <v>0.99782686020923195</v>
      </c>
      <c r="G8" s="7">
        <v>0</v>
      </c>
      <c r="H8" s="7">
        <v>0</v>
      </c>
      <c r="I8" s="7">
        <v>0</v>
      </c>
      <c r="J8" s="3"/>
      <c r="K8" s="3"/>
    </row>
    <row r="9" spans="1:12" x14ac:dyDescent="0.55000000000000004">
      <c r="A9" s="6">
        <v>-2000</v>
      </c>
      <c r="B9" s="4" t="s">
        <v>4</v>
      </c>
      <c r="C9" s="7">
        <v>0</v>
      </c>
      <c r="D9" s="7">
        <v>0</v>
      </c>
      <c r="E9" s="7">
        <v>0</v>
      </c>
      <c r="F9" s="7" t="s">
        <v>6</v>
      </c>
      <c r="G9" s="7">
        <v>0</v>
      </c>
      <c r="H9" s="7">
        <v>0</v>
      </c>
      <c r="I9" s="7">
        <v>0</v>
      </c>
      <c r="J9" s="3"/>
      <c r="K9" s="3"/>
    </row>
    <row r="10" spans="1:12" x14ac:dyDescent="0.55000000000000004">
      <c r="A10" s="6">
        <v>-6500</v>
      </c>
      <c r="B10" s="4" t="s">
        <v>5</v>
      </c>
      <c r="C10" s="8">
        <v>0</v>
      </c>
      <c r="D10" s="8">
        <v>0</v>
      </c>
      <c r="E10" s="8">
        <v>12804.329781943559</v>
      </c>
      <c r="F10" s="8">
        <v>168560.09041352122</v>
      </c>
      <c r="G10" s="8">
        <v>22373.51433339134</v>
      </c>
      <c r="H10" s="8">
        <v>0</v>
      </c>
      <c r="I10" s="8">
        <v>0</v>
      </c>
      <c r="J10" s="8">
        <v>203737.9345288561</v>
      </c>
      <c r="K10" s="9">
        <v>2.341877331866108E-3</v>
      </c>
      <c r="L10" s="14">
        <f>K10</f>
        <v>2.341877331866108E-3</v>
      </c>
    </row>
    <row r="11" spans="1:12" x14ac:dyDescent="0.55000000000000004">
      <c r="A11" s="6">
        <v>-5000</v>
      </c>
      <c r="B11" s="4" t="s">
        <v>5</v>
      </c>
      <c r="C11" s="8">
        <v>0</v>
      </c>
      <c r="D11" s="8">
        <v>0</v>
      </c>
      <c r="E11" s="8">
        <v>3658.3800545141103</v>
      </c>
      <c r="F11" s="8">
        <v>82508.063180356025</v>
      </c>
      <c r="G11" s="8">
        <v>32348.919482036457</v>
      </c>
      <c r="H11" s="8">
        <v>0</v>
      </c>
      <c r="I11" s="8">
        <v>0</v>
      </c>
      <c r="J11" s="8">
        <v>118515.36271690659</v>
      </c>
      <c r="K11" s="9">
        <v>1.3622816097868268E-3</v>
      </c>
      <c r="L11" s="14">
        <f>K11</f>
        <v>1.3622816097868268E-3</v>
      </c>
    </row>
    <row r="12" spans="1:12" x14ac:dyDescent="0.55000000000000004">
      <c r="A12" s="6">
        <v>-3500</v>
      </c>
      <c r="B12" s="4" t="s">
        <v>5</v>
      </c>
      <c r="C12" s="8">
        <v>0</v>
      </c>
      <c r="D12" s="8">
        <v>0</v>
      </c>
      <c r="E12" s="8">
        <v>1829.1900272570551</v>
      </c>
      <c r="F12" s="8">
        <v>43938.537462631168</v>
      </c>
      <c r="G12" s="8">
        <v>0</v>
      </c>
      <c r="H12" s="8">
        <v>0</v>
      </c>
      <c r="I12" s="8">
        <v>0</v>
      </c>
      <c r="J12" s="8">
        <v>45767.727489888224</v>
      </c>
      <c r="K12" s="9" t="s">
        <v>7</v>
      </c>
      <c r="L12" s="13">
        <v>5.0000000000000001E-4</v>
      </c>
    </row>
    <row r="13" spans="1:12" x14ac:dyDescent="0.55000000000000004">
      <c r="A13" s="6">
        <v>-2000</v>
      </c>
      <c r="B13" s="4" t="s">
        <v>5</v>
      </c>
      <c r="C13" s="8">
        <v>0</v>
      </c>
      <c r="D13" s="8">
        <v>0</v>
      </c>
      <c r="E13" s="8">
        <v>0</v>
      </c>
      <c r="F13" s="8">
        <v>4297.2951280693715</v>
      </c>
      <c r="G13" s="8">
        <v>0</v>
      </c>
      <c r="H13" s="8">
        <v>0</v>
      </c>
      <c r="I13" s="8">
        <v>0</v>
      </c>
      <c r="J13" s="8">
        <v>4297.2951280693715</v>
      </c>
      <c r="K13" s="9" t="s">
        <v>7</v>
      </c>
      <c r="L13" s="13">
        <v>5.0000000000000001E-4</v>
      </c>
    </row>
    <row r="15" spans="1:12" x14ac:dyDescent="0.55000000000000004">
      <c r="A15" s="10" t="s">
        <v>19</v>
      </c>
    </row>
    <row r="16" spans="1:12" ht="34.200000000000003" x14ac:dyDescent="0.55000000000000004">
      <c r="A16" s="2" t="s">
        <v>0</v>
      </c>
      <c r="B16" s="1" t="s">
        <v>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2</v>
      </c>
      <c r="K16" s="2" t="s">
        <v>8</v>
      </c>
    </row>
    <row r="17" spans="1:12" x14ac:dyDescent="0.55000000000000004">
      <c r="A17" s="3"/>
      <c r="B17" s="4" t="s">
        <v>3</v>
      </c>
      <c r="C17" s="5">
        <v>50768699</v>
      </c>
      <c r="D17" s="5">
        <v>95178218</v>
      </c>
      <c r="E17" s="5">
        <v>668127</v>
      </c>
      <c r="F17" s="5">
        <v>5799153</v>
      </c>
      <c r="G17" s="5">
        <v>15566362</v>
      </c>
      <c r="H17" s="5">
        <v>285263</v>
      </c>
      <c r="I17" s="5">
        <v>0</v>
      </c>
      <c r="J17" s="5">
        <v>168265822</v>
      </c>
      <c r="K17" s="5">
        <v>0</v>
      </c>
    </row>
    <row r="18" spans="1:12" x14ac:dyDescent="0.55000000000000004">
      <c r="A18" s="6">
        <v>-6500</v>
      </c>
      <c r="B18" s="4" t="s">
        <v>4</v>
      </c>
      <c r="C18" s="7">
        <v>0</v>
      </c>
      <c r="D18" s="7">
        <v>0</v>
      </c>
      <c r="E18" s="7">
        <v>0.82941717187480968</v>
      </c>
      <c r="F18" s="7">
        <v>3.0789769065541619</v>
      </c>
      <c r="G18" s="7" t="s">
        <v>6</v>
      </c>
      <c r="H18" s="7">
        <v>52.170875050870855</v>
      </c>
      <c r="I18" s="7">
        <v>0</v>
      </c>
      <c r="J18" s="3"/>
      <c r="K18" s="3"/>
    </row>
    <row r="19" spans="1:12" x14ac:dyDescent="0.55000000000000004">
      <c r="A19" s="6">
        <v>-5000</v>
      </c>
      <c r="B19" s="4" t="s">
        <v>4</v>
      </c>
      <c r="C19" s="7">
        <v>0</v>
      </c>
      <c r="D19" s="7">
        <v>0</v>
      </c>
      <c r="E19" s="7">
        <v>0.51470918360464135</v>
      </c>
      <c r="F19" s="7">
        <v>1.7056257909461798</v>
      </c>
      <c r="G19" s="7" t="s">
        <v>6</v>
      </c>
      <c r="H19" s="7">
        <v>47.382794242554226</v>
      </c>
      <c r="I19" s="7">
        <v>0</v>
      </c>
      <c r="J19" s="3"/>
      <c r="K19" s="3"/>
    </row>
    <row r="20" spans="1:12" x14ac:dyDescent="0.55000000000000004">
      <c r="A20" s="6">
        <v>-3500</v>
      </c>
      <c r="B20" s="4" t="s">
        <v>4</v>
      </c>
      <c r="C20" s="7">
        <v>0</v>
      </c>
      <c r="D20" s="7">
        <v>0</v>
      </c>
      <c r="E20" s="7">
        <v>0.26629234060466256</v>
      </c>
      <c r="F20" s="7">
        <v>0.83781126798178807</v>
      </c>
      <c r="G20" s="7" t="s">
        <v>6</v>
      </c>
      <c r="H20" s="7">
        <v>42.381904651474109</v>
      </c>
      <c r="I20" s="7">
        <v>0</v>
      </c>
      <c r="J20" s="3"/>
      <c r="K20" s="3"/>
    </row>
    <row r="21" spans="1:12" x14ac:dyDescent="0.55000000000000004">
      <c r="A21" s="6">
        <v>-2000</v>
      </c>
      <c r="B21" s="4" t="s">
        <v>4</v>
      </c>
      <c r="C21" s="7">
        <v>0</v>
      </c>
      <c r="D21" s="7">
        <v>0</v>
      </c>
      <c r="E21" s="7" t="s">
        <v>6</v>
      </c>
      <c r="F21" s="7">
        <v>0.22955855614689158</v>
      </c>
      <c r="G21" s="7">
        <v>0</v>
      </c>
      <c r="H21" s="7">
        <v>33.485038295626893</v>
      </c>
      <c r="I21" s="7">
        <v>0</v>
      </c>
      <c r="J21" s="3"/>
      <c r="K21" s="3"/>
    </row>
    <row r="22" spans="1:12" x14ac:dyDescent="0.55000000000000004">
      <c r="A22" s="6">
        <v>-6500</v>
      </c>
      <c r="B22" s="4" t="s">
        <v>5</v>
      </c>
      <c r="C22" s="8">
        <v>0</v>
      </c>
      <c r="D22" s="8">
        <v>0</v>
      </c>
      <c r="E22" s="8">
        <v>5541.5600679320096</v>
      </c>
      <c r="F22" s="8">
        <v>178554.58164574287</v>
      </c>
      <c r="G22" s="8">
        <v>1108.3440296265485</v>
      </c>
      <c r="H22" s="8">
        <v>148824.20329636574</v>
      </c>
      <c r="I22" s="8">
        <v>0</v>
      </c>
      <c r="J22" s="8">
        <v>334028.68903966714</v>
      </c>
      <c r="K22" s="9">
        <v>1.9851249949004329E-3</v>
      </c>
      <c r="L22" s="15">
        <f>K22</f>
        <v>1.9851249949004329E-3</v>
      </c>
    </row>
    <row r="23" spans="1:12" x14ac:dyDescent="0.55000000000000004">
      <c r="A23" s="6">
        <v>-5000</v>
      </c>
      <c r="B23" s="4" t="s">
        <v>5</v>
      </c>
      <c r="C23" s="8">
        <v>0</v>
      </c>
      <c r="D23" s="8">
        <v>0</v>
      </c>
      <c r="E23" s="8">
        <v>3438.9110271421819</v>
      </c>
      <c r="F23" s="8">
        <v>98911.849224429126</v>
      </c>
      <c r="G23" s="8">
        <v>1183.2480307427049</v>
      </c>
      <c r="H23" s="8">
        <v>135165.58034013747</v>
      </c>
      <c r="I23" s="8">
        <v>0</v>
      </c>
      <c r="J23" s="8">
        <v>238699.58862245147</v>
      </c>
      <c r="K23" s="9">
        <v>1.4185862927199289E-3</v>
      </c>
      <c r="L23" s="15">
        <f t="shared" ref="L23:L24" si="0">K23</f>
        <v>1.4185862927199289E-3</v>
      </c>
    </row>
    <row r="24" spans="1:12" x14ac:dyDescent="0.55000000000000004">
      <c r="A24" s="6">
        <v>-3500</v>
      </c>
      <c r="B24" s="4" t="s">
        <v>5</v>
      </c>
      <c r="C24" s="8">
        <v>0</v>
      </c>
      <c r="D24" s="8">
        <v>0</v>
      </c>
      <c r="E24" s="8">
        <v>1779.171026511714</v>
      </c>
      <c r="F24" s="8">
        <v>48585.957281503899</v>
      </c>
      <c r="G24" s="8">
        <v>263.95801048874858</v>
      </c>
      <c r="H24" s="8">
        <v>120899.89266593457</v>
      </c>
      <c r="I24" s="8">
        <v>0</v>
      </c>
      <c r="J24" s="8">
        <v>171528.97898443893</v>
      </c>
      <c r="K24" s="9">
        <v>1.0193928686506458E-3</v>
      </c>
      <c r="L24" s="15">
        <f t="shared" si="0"/>
        <v>1.0193928686506458E-3</v>
      </c>
    </row>
    <row r="25" spans="1:12" x14ac:dyDescent="0.55000000000000004">
      <c r="A25" s="6">
        <v>-2000</v>
      </c>
      <c r="B25" s="4" t="s">
        <v>5</v>
      </c>
      <c r="C25" s="8">
        <v>0</v>
      </c>
      <c r="D25" s="8">
        <v>0</v>
      </c>
      <c r="E25" s="8">
        <v>527.54100786097354</v>
      </c>
      <c r="F25" s="8">
        <v>13312.451895549148</v>
      </c>
      <c r="G25" s="8">
        <v>0</v>
      </c>
      <c r="H25" s="8">
        <v>95520.424793254133</v>
      </c>
      <c r="I25" s="8">
        <v>0</v>
      </c>
      <c r="J25" s="8">
        <v>109360.41769666426</v>
      </c>
      <c r="K25" s="9" t="s">
        <v>7</v>
      </c>
      <c r="L25" s="13"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Week1</vt:lpstr>
      <vt:lpstr>Week2</vt:lpstr>
      <vt:lpstr>Week3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2026-03-18T18:26:46Z</dcterms:created>
  <dcterms:modified xsi:type="dcterms:W3CDTF">2026-03-18T18:53:53Z</dcterms:modified>
</cp:coreProperties>
</file>