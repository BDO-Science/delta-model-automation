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41801E6A-DEE6-440A-A541-DC67E8B824FB}" xr6:coauthVersionLast="47" xr6:coauthVersionMax="47" xr10:uidLastSave="{00000000-0000-0000-0000-000000000000}"/>
  <bookViews>
    <workbookView xWindow="-8430" yWindow="-16320" windowWidth="29040" windowHeight="15720" firstSheet="1" activeTab="3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LS Map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20" l="1"/>
  <c r="A51" i="20" s="1"/>
  <c r="A52" i="20" s="1"/>
  <c r="A53" i="20" s="1"/>
  <c r="A54" i="20" s="1"/>
  <c r="A55" i="20" s="1"/>
  <c r="A56" i="20" s="1"/>
  <c r="A57" i="20" s="1"/>
  <c r="A58" i="20" s="1"/>
  <c r="A59" i="20" s="1"/>
  <c r="B49" i="20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A49" i="20"/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B3" i="20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60" i="20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60" i="20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<sst xmlns="http://schemas.openxmlformats.org/spreadsheetml/2006/main" count="700" uniqueCount="39">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</sst>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47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3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4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3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4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zoomScale="110" zoomScaleNormal="110" workbookViewId="0">
      <pane ySplit="1" topLeftCell="A42" activePane="bottomLeft" state="frozen"/>
      <selection pane="bottomLeft" activeCell="A64" sqref="A64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23</v>
      </c>
      <c r="H10" s="8" t="s">
        <v>27</v>
      </c>
      <c r="I10" s="25">
        <v>2</v>
      </c>
      <c r="J10" s="8" t="s">
        <v>25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23</v>
      </c>
      <c r="H12" s="9" t="s">
        <v>27</v>
      </c>
      <c r="I12" s="24">
        <v>3</v>
      </c>
      <c r="J12" s="9" t="s">
        <v>25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23</v>
      </c>
      <c r="H13" s="8" t="s">
        <v>37</v>
      </c>
      <c r="I13" s="25">
        <v>1</v>
      </c>
      <c r="J13" s="8" t="s">
        <v>25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37</v>
      </c>
      <c r="I15" s="25">
        <v>4</v>
      </c>
      <c r="J15" s="8" t="s">
        <v>25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37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23</v>
      </c>
      <c r="H17" s="1" t="s">
        <v>37</v>
      </c>
      <c r="I17" s="26">
        <v>13</v>
      </c>
      <c r="J17" s="8" t="s">
        <v>25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23</v>
      </c>
      <c r="H18" s="1" t="s">
        <v>37</v>
      </c>
      <c r="I18" s="26">
        <v>2</v>
      </c>
      <c r="J18" s="8" t="s">
        <v>25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23</v>
      </c>
      <c r="H24" s="1" t="s">
        <v>27</v>
      </c>
      <c r="I24" s="26">
        <v>8</v>
      </c>
      <c r="J24" s="8" t="s">
        <v>25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37</v>
      </c>
      <c r="I25" s="26">
        <v>9</v>
      </c>
      <c r="J25" s="8" t="s">
        <v>25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23</v>
      </c>
      <c r="H26" s="1" t="s">
        <v>27</v>
      </c>
      <c r="I26" s="26">
        <v>3</v>
      </c>
      <c r="J26" s="1" t="s">
        <v>25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23</v>
      </c>
      <c r="H27" s="1" t="s">
        <v>37</v>
      </c>
      <c r="I27" s="26">
        <v>28</v>
      </c>
      <c r="J27" s="1" t="s">
        <v>25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23</v>
      </c>
      <c r="H28" s="1" t="s">
        <v>27</v>
      </c>
      <c r="I28" s="26">
        <v>6</v>
      </c>
      <c r="J28" s="1" t="s">
        <v>25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23</v>
      </c>
      <c r="H29" s="1" t="s">
        <v>27</v>
      </c>
      <c r="I29" s="26">
        <v>10</v>
      </c>
      <c r="J29" s="1" t="s">
        <v>25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23</v>
      </c>
      <c r="H30" s="1" t="s">
        <v>37</v>
      </c>
      <c r="I30" s="26">
        <v>5</v>
      </c>
      <c r="J30" s="1" t="s">
        <v>25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23</v>
      </c>
      <c r="H32" s="1" t="s">
        <v>37</v>
      </c>
      <c r="I32" s="39">
        <v>3</v>
      </c>
      <c r="J32" s="56" t="s">
        <v>25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37</v>
      </c>
      <c r="I33" s="26">
        <v>1</v>
      </c>
      <c r="J33" s="1" t="s">
        <v>25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23</v>
      </c>
      <c r="H34" s="1" t="s">
        <v>27</v>
      </c>
      <c r="I34" s="26">
        <v>3</v>
      </c>
      <c r="J34" s="1" t="s">
        <v>25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23</v>
      </c>
      <c r="H35" s="1" t="s">
        <v>27</v>
      </c>
      <c r="I35" s="26">
        <v>2</v>
      </c>
      <c r="J35" s="1" t="s">
        <v>25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23</v>
      </c>
      <c r="H39" s="1" t="s">
        <v>37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23</v>
      </c>
      <c r="H40" s="1" t="s">
        <v>37</v>
      </c>
      <c r="I40" s="26">
        <v>2</v>
      </c>
      <c r="J40" s="1" t="s">
        <v>25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23</v>
      </c>
      <c r="H43" s="1" t="s">
        <v>37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23</v>
      </c>
      <c r="H47" s="1" t="s">
        <v>37</v>
      </c>
      <c r="I47" s="26">
        <v>3</v>
      </c>
      <c r="J47" s="1" t="s">
        <v>25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37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3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4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>
        <v>901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tabSelected="1" topLeftCell="A33" workbookViewId="0">
      <selection activeCell="H63" sqref="H63"/>
    </sheetView>
  </sheetViews>
  <sheetFormatPr defaultRowHeight="15" x14ac:dyDescent="0.25"/>
  <cols>
    <col min="7" max="7" width="13.42578125" bestFit="1" customWidth="1"/>
    <col min="8" max="8" width="18.140625" customWidth="1"/>
    <col min="10" max="10" width="11.42578125" customWidth="1"/>
    <col min="14" max="14" width="13.28515625" customWidth="1"/>
  </cols>
  <sheetData>
    <row r="1" spans="1:14" ht="51.7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2</v>
      </c>
      <c r="C2" s="9">
        <v>306</v>
      </c>
      <c r="D2" s="20"/>
      <c r="E2" s="9"/>
      <c r="F2" s="12"/>
      <c r="G2" s="37" t="s">
        <v>35</v>
      </c>
      <c r="H2" s="8"/>
      <c r="I2" s="24"/>
      <c r="J2" s="8"/>
      <c r="K2" s="9"/>
      <c r="L2" s="9"/>
      <c r="M2" s="40"/>
      <c r="N2" s="34"/>
    </row>
    <row r="3" spans="1:14" x14ac:dyDescent="0.25">
      <c r="A3" s="53">
        <f>A2</f>
        <v>2026</v>
      </c>
      <c r="B3" s="1">
        <f>B2</f>
        <v>2</v>
      </c>
      <c r="C3" s="8">
        <v>308</v>
      </c>
      <c r="D3" s="18"/>
      <c r="E3" s="8"/>
      <c r="F3" s="13"/>
      <c r="G3" s="37" t="s">
        <v>35</v>
      </c>
      <c r="H3" s="8"/>
      <c r="I3" s="25"/>
      <c r="J3" s="8"/>
      <c r="K3" s="8"/>
      <c r="L3" s="8"/>
      <c r="M3" s="41"/>
      <c r="N3" s="31"/>
    </row>
    <row r="4" spans="1:14" x14ac:dyDescent="0.25">
      <c r="A4" s="53">
        <f t="shared" ref="A4:B19" si="0">A3</f>
        <v>2026</v>
      </c>
      <c r="B4" s="1">
        <f>B3</f>
        <v>2</v>
      </c>
      <c r="C4" s="8">
        <v>311</v>
      </c>
      <c r="D4" s="18"/>
      <c r="E4" s="8"/>
      <c r="F4" s="13"/>
      <c r="G4" s="37" t="s">
        <v>35</v>
      </c>
      <c r="H4" s="8"/>
      <c r="I4" s="25"/>
      <c r="J4" s="8"/>
      <c r="K4" s="8"/>
      <c r="L4" s="8"/>
      <c r="M4" s="41"/>
      <c r="N4" s="31"/>
    </row>
    <row r="5" spans="1:14" x14ac:dyDescent="0.25">
      <c r="A5" s="53">
        <f t="shared" si="0"/>
        <v>2026</v>
      </c>
      <c r="B5" s="1">
        <f t="shared" si="0"/>
        <v>2</v>
      </c>
      <c r="C5" s="8">
        <v>315</v>
      </c>
      <c r="D5" s="20"/>
      <c r="E5" s="9"/>
      <c r="F5" s="12"/>
      <c r="G5" s="37" t="s">
        <v>35</v>
      </c>
      <c r="H5" s="8"/>
      <c r="I5" s="24"/>
      <c r="J5" s="8"/>
      <c r="K5" s="9"/>
      <c r="L5" s="9"/>
      <c r="M5" s="42"/>
      <c r="N5" s="35"/>
    </row>
    <row r="6" spans="1:14" x14ac:dyDescent="0.25">
      <c r="A6" s="53">
        <f t="shared" si="0"/>
        <v>2026</v>
      </c>
      <c r="B6" s="1">
        <f t="shared" si="0"/>
        <v>2</v>
      </c>
      <c r="C6" s="8">
        <v>322</v>
      </c>
      <c r="D6" s="18"/>
      <c r="E6" s="8"/>
      <c r="F6" s="13"/>
      <c r="G6" s="37" t="s">
        <v>35</v>
      </c>
      <c r="H6" s="8"/>
      <c r="I6" s="25"/>
      <c r="J6" s="8"/>
      <c r="K6" s="8"/>
      <c r="L6" s="8"/>
      <c r="M6" s="41"/>
      <c r="N6" s="31"/>
    </row>
    <row r="7" spans="1:14" x14ac:dyDescent="0.25">
      <c r="A7" s="53">
        <f t="shared" si="0"/>
        <v>2026</v>
      </c>
      <c r="B7" s="1">
        <f t="shared" si="0"/>
        <v>2</v>
      </c>
      <c r="C7" s="8">
        <v>323</v>
      </c>
      <c r="D7" s="18"/>
      <c r="E7" s="8"/>
      <c r="F7" s="13"/>
      <c r="G7" s="37" t="s">
        <v>35</v>
      </c>
      <c r="H7" s="8"/>
      <c r="I7" s="25"/>
      <c r="J7" s="8"/>
      <c r="K7" s="8"/>
      <c r="L7" s="8"/>
      <c r="M7" s="41"/>
      <c r="N7" s="31"/>
    </row>
    <row r="8" spans="1:14" x14ac:dyDescent="0.25">
      <c r="A8" s="53">
        <f t="shared" si="0"/>
        <v>2026</v>
      </c>
      <c r="B8" s="1">
        <f t="shared" si="0"/>
        <v>2</v>
      </c>
      <c r="C8" s="8">
        <v>327</v>
      </c>
      <c r="D8" s="18"/>
      <c r="E8" s="8"/>
      <c r="F8" s="13"/>
      <c r="G8" s="37" t="s">
        <v>35</v>
      </c>
      <c r="H8" s="8"/>
      <c r="I8" s="25"/>
      <c r="J8" s="8"/>
      <c r="K8" s="8"/>
      <c r="L8" s="8"/>
      <c r="M8" s="41"/>
      <c r="N8" s="31"/>
    </row>
    <row r="9" spans="1:14" x14ac:dyDescent="0.25">
      <c r="A9" s="53">
        <f t="shared" si="0"/>
        <v>2026</v>
      </c>
      <c r="B9" s="1">
        <f t="shared" si="0"/>
        <v>2</v>
      </c>
      <c r="C9" s="8">
        <v>328</v>
      </c>
      <c r="D9" s="18"/>
      <c r="E9" s="8"/>
      <c r="F9" s="13"/>
      <c r="G9" s="37" t="s">
        <v>35</v>
      </c>
      <c r="H9" s="8"/>
      <c r="I9" s="25"/>
      <c r="J9" s="8"/>
      <c r="K9" s="8"/>
      <c r="L9" s="8"/>
      <c r="M9" s="41"/>
      <c r="N9" s="31"/>
    </row>
    <row r="10" spans="1:14" x14ac:dyDescent="0.25">
      <c r="A10" s="53">
        <f t="shared" si="0"/>
        <v>2026</v>
      </c>
      <c r="B10" s="1">
        <f t="shared" si="0"/>
        <v>2</v>
      </c>
      <c r="C10" s="8">
        <v>329</v>
      </c>
      <c r="D10" s="18"/>
      <c r="E10" s="8"/>
      <c r="F10" s="13"/>
      <c r="G10" s="37" t="s">
        <v>35</v>
      </c>
      <c r="H10" s="8"/>
      <c r="I10" s="25"/>
      <c r="J10" s="8"/>
      <c r="K10" s="8"/>
      <c r="L10" s="8"/>
      <c r="M10" s="41"/>
      <c r="N10" s="31"/>
    </row>
    <row r="11" spans="1:14" x14ac:dyDescent="0.25">
      <c r="A11" s="53">
        <f t="shared" si="0"/>
        <v>2026</v>
      </c>
      <c r="B11" s="1">
        <f t="shared" si="0"/>
        <v>2</v>
      </c>
      <c r="C11" s="8">
        <v>330</v>
      </c>
      <c r="D11" s="18"/>
      <c r="E11" s="8"/>
      <c r="F11" s="13"/>
      <c r="G11" s="37" t="s">
        <v>35</v>
      </c>
      <c r="H11" s="8"/>
      <c r="I11" s="25"/>
      <c r="J11" s="8"/>
      <c r="K11" s="8"/>
      <c r="L11" s="8"/>
      <c r="M11" s="41"/>
      <c r="N11" s="31"/>
    </row>
    <row r="12" spans="1:14" x14ac:dyDescent="0.25">
      <c r="A12" s="53">
        <f t="shared" si="0"/>
        <v>2026</v>
      </c>
      <c r="B12" s="1">
        <f t="shared" si="0"/>
        <v>2</v>
      </c>
      <c r="C12" s="8">
        <v>335</v>
      </c>
      <c r="D12" s="20"/>
      <c r="E12" s="9"/>
      <c r="F12" s="12"/>
      <c r="G12" s="37" t="s">
        <v>35</v>
      </c>
      <c r="H12" s="9"/>
      <c r="I12" s="24"/>
      <c r="J12" s="9"/>
      <c r="K12" s="9"/>
      <c r="L12" s="9"/>
      <c r="M12" s="42"/>
      <c r="N12" s="35"/>
    </row>
    <row r="13" spans="1:14" x14ac:dyDescent="0.25">
      <c r="A13" s="53">
        <f t="shared" si="0"/>
        <v>2026</v>
      </c>
      <c r="B13" s="1">
        <f t="shared" si="0"/>
        <v>2</v>
      </c>
      <c r="C13" s="8">
        <v>336</v>
      </c>
      <c r="D13" s="18"/>
      <c r="E13" s="8"/>
      <c r="F13" s="13"/>
      <c r="G13" s="37" t="s">
        <v>35</v>
      </c>
      <c r="H13" s="8"/>
      <c r="I13" s="25"/>
      <c r="J13" s="8"/>
      <c r="K13" s="8"/>
      <c r="L13" s="8"/>
      <c r="M13" s="41"/>
      <c r="N13" s="31"/>
    </row>
    <row r="14" spans="1:14" x14ac:dyDescent="0.25">
      <c r="A14" s="53">
        <f t="shared" si="0"/>
        <v>2026</v>
      </c>
      <c r="B14" s="1">
        <f t="shared" si="0"/>
        <v>2</v>
      </c>
      <c r="C14" s="8">
        <v>338</v>
      </c>
      <c r="D14" s="18"/>
      <c r="E14" s="8"/>
      <c r="F14" s="13"/>
      <c r="G14" s="37" t="s">
        <v>35</v>
      </c>
      <c r="H14" s="8"/>
      <c r="I14" s="25"/>
      <c r="J14" s="8"/>
      <c r="K14" s="8"/>
      <c r="L14" s="8"/>
      <c r="M14" s="41"/>
      <c r="N14" s="31"/>
    </row>
    <row r="15" spans="1:14" x14ac:dyDescent="0.25">
      <c r="A15" s="53">
        <f t="shared" si="0"/>
        <v>2026</v>
      </c>
      <c r="B15" s="1">
        <f t="shared" si="0"/>
        <v>2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</row>
    <row r="16" spans="1:14" x14ac:dyDescent="0.25">
      <c r="A16" s="53">
        <f t="shared" si="0"/>
        <v>2026</v>
      </c>
      <c r="B16" s="1">
        <f t="shared" si="0"/>
        <v>2</v>
      </c>
      <c r="C16" s="1">
        <v>342</v>
      </c>
      <c r="D16" s="17"/>
      <c r="E16" s="2"/>
      <c r="F16" s="10"/>
      <c r="G16" s="37" t="s">
        <v>35</v>
      </c>
      <c r="H16" s="1"/>
      <c r="I16" s="26"/>
      <c r="J16" s="8"/>
      <c r="K16" s="1"/>
      <c r="L16" s="1"/>
      <c r="M16" s="29"/>
      <c r="N16" s="32"/>
    </row>
    <row r="17" spans="1:14" x14ac:dyDescent="0.25">
      <c r="A17" s="53">
        <f t="shared" si="0"/>
        <v>2026</v>
      </c>
      <c r="B17" s="1">
        <f t="shared" si="0"/>
        <v>2</v>
      </c>
      <c r="C17" s="1">
        <v>343</v>
      </c>
      <c r="D17" s="17"/>
      <c r="E17" s="2"/>
      <c r="F17" s="10"/>
      <c r="G17" s="37" t="s">
        <v>35</v>
      </c>
      <c r="H17" s="1"/>
      <c r="I17" s="26"/>
      <c r="J17" s="8"/>
      <c r="K17" s="1"/>
      <c r="L17" s="1"/>
      <c r="M17" s="29"/>
      <c r="N17" s="32"/>
    </row>
    <row r="18" spans="1:14" x14ac:dyDescent="0.25">
      <c r="A18" s="53">
        <f t="shared" si="0"/>
        <v>2026</v>
      </c>
      <c r="B18" s="1">
        <f t="shared" si="0"/>
        <v>2</v>
      </c>
      <c r="C18" s="1">
        <v>344</v>
      </c>
      <c r="D18" s="17"/>
      <c r="E18" s="2"/>
      <c r="F18" s="10"/>
      <c r="G18" s="37" t="s">
        <v>35</v>
      </c>
      <c r="H18" s="1"/>
      <c r="I18" s="26"/>
      <c r="J18" s="8"/>
      <c r="K18" s="1"/>
      <c r="L18" s="1"/>
      <c r="M18" s="29"/>
      <c r="N18" s="32"/>
    </row>
    <row r="19" spans="1:14" x14ac:dyDescent="0.25">
      <c r="A19" s="53">
        <f t="shared" si="0"/>
        <v>2026</v>
      </c>
      <c r="B19" s="1">
        <f t="shared" si="0"/>
        <v>2</v>
      </c>
      <c r="C19" s="1">
        <v>345</v>
      </c>
      <c r="D19" s="17"/>
      <c r="E19" s="2"/>
      <c r="F19" s="10"/>
      <c r="G19" s="37" t="s">
        <v>35</v>
      </c>
      <c r="H19" s="1"/>
      <c r="I19" s="26"/>
      <c r="J19" s="8"/>
      <c r="K19" s="1"/>
      <c r="L19" s="1"/>
      <c r="M19" s="29"/>
      <c r="N19" s="32"/>
    </row>
    <row r="20" spans="1:14" x14ac:dyDescent="0.25">
      <c r="A20" s="53">
        <f t="shared" ref="A20:B35" si="1">A19</f>
        <v>2026</v>
      </c>
      <c r="B20" s="1">
        <f t="shared" si="1"/>
        <v>2</v>
      </c>
      <c r="C20" s="1">
        <v>346</v>
      </c>
      <c r="D20" s="17"/>
      <c r="E20" s="2"/>
      <c r="F20" s="10"/>
      <c r="G20" s="37" t="s">
        <v>35</v>
      </c>
      <c r="H20" s="1"/>
      <c r="I20" s="26"/>
      <c r="J20" s="8"/>
      <c r="K20" s="1"/>
      <c r="L20" s="1"/>
      <c r="M20" s="29"/>
      <c r="N20" s="32"/>
    </row>
    <row r="21" spans="1:14" x14ac:dyDescent="0.25">
      <c r="A21" s="53">
        <f t="shared" si="1"/>
        <v>2026</v>
      </c>
      <c r="B21" s="1">
        <f t="shared" si="1"/>
        <v>2</v>
      </c>
      <c r="C21" s="1">
        <v>347</v>
      </c>
      <c r="D21" s="17"/>
      <c r="E21" s="2"/>
      <c r="F21" s="10"/>
      <c r="G21" s="37" t="s">
        <v>35</v>
      </c>
      <c r="H21" s="1"/>
      <c r="I21" s="26"/>
      <c r="J21" s="8"/>
      <c r="K21" s="1"/>
      <c r="L21" s="1"/>
      <c r="M21" s="29"/>
      <c r="N21" s="32"/>
    </row>
    <row r="22" spans="1:14" x14ac:dyDescent="0.25">
      <c r="A22" s="53">
        <f t="shared" si="1"/>
        <v>2026</v>
      </c>
      <c r="B22" s="1">
        <f t="shared" si="1"/>
        <v>2</v>
      </c>
      <c r="C22" s="1">
        <v>348</v>
      </c>
      <c r="D22" s="17"/>
      <c r="E22" s="2"/>
      <c r="F22" s="10"/>
      <c r="G22" s="37" t="s">
        <v>35</v>
      </c>
      <c r="H22" s="1"/>
      <c r="I22" s="26"/>
      <c r="J22" s="8"/>
      <c r="K22" s="1"/>
      <c r="L22" s="1"/>
      <c r="M22" s="29"/>
      <c r="N22" s="32"/>
    </row>
    <row r="23" spans="1:14" x14ac:dyDescent="0.25">
      <c r="A23" s="53">
        <f t="shared" si="1"/>
        <v>2026</v>
      </c>
      <c r="B23" s="1">
        <f t="shared" si="1"/>
        <v>2</v>
      </c>
      <c r="C23" s="1">
        <v>349</v>
      </c>
      <c r="D23" s="17"/>
      <c r="E23" s="2"/>
      <c r="F23" s="10"/>
      <c r="G23" s="37" t="s">
        <v>35</v>
      </c>
      <c r="H23" s="1"/>
      <c r="I23" s="26"/>
      <c r="J23" s="1"/>
      <c r="K23" s="1"/>
      <c r="L23" s="1"/>
      <c r="M23" s="29"/>
      <c r="N23" s="32"/>
    </row>
    <row r="24" spans="1:14" x14ac:dyDescent="0.25">
      <c r="A24" s="53">
        <f t="shared" si="1"/>
        <v>2026</v>
      </c>
      <c r="B24" s="1">
        <f t="shared" si="1"/>
        <v>2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</row>
    <row r="25" spans="1:14" x14ac:dyDescent="0.25">
      <c r="A25" s="53">
        <f t="shared" si="1"/>
        <v>2026</v>
      </c>
      <c r="B25" s="1">
        <f t="shared" si="1"/>
        <v>2</v>
      </c>
      <c r="C25" s="8">
        <v>404</v>
      </c>
      <c r="D25" s="18"/>
      <c r="E25" s="2"/>
      <c r="F25" s="10"/>
      <c r="G25" s="37" t="s">
        <v>35</v>
      </c>
      <c r="H25" s="1"/>
      <c r="I25" s="26"/>
      <c r="J25" s="8"/>
      <c r="K25" s="1"/>
      <c r="L25" s="1"/>
      <c r="M25" s="29"/>
      <c r="N25" s="32"/>
    </row>
    <row r="26" spans="1:14" x14ac:dyDescent="0.25">
      <c r="A26" s="53">
        <f t="shared" si="1"/>
        <v>2026</v>
      </c>
      <c r="B26" s="1">
        <f t="shared" si="1"/>
        <v>2</v>
      </c>
      <c r="C26" s="1">
        <v>405</v>
      </c>
      <c r="D26" s="17"/>
      <c r="E26" s="2"/>
      <c r="F26" s="10"/>
      <c r="G26" s="37" t="s">
        <v>35</v>
      </c>
      <c r="H26" s="1"/>
      <c r="I26" s="26"/>
      <c r="J26" s="1"/>
      <c r="K26" s="1"/>
      <c r="L26" s="1"/>
      <c r="M26" s="29"/>
      <c r="N26" s="32"/>
    </row>
    <row r="27" spans="1:14" x14ac:dyDescent="0.25">
      <c r="A27" s="53">
        <f t="shared" si="1"/>
        <v>2026</v>
      </c>
      <c r="B27" s="1">
        <f t="shared" si="1"/>
        <v>2</v>
      </c>
      <c r="C27" s="1">
        <v>411</v>
      </c>
      <c r="D27" s="17"/>
      <c r="E27" s="2"/>
      <c r="F27" s="10"/>
      <c r="G27" s="37" t="s">
        <v>35</v>
      </c>
      <c r="H27" s="1"/>
      <c r="I27" s="26"/>
      <c r="J27" s="1"/>
      <c r="K27" s="1"/>
      <c r="L27" s="1"/>
      <c r="M27" s="29"/>
      <c r="N27" s="32"/>
    </row>
    <row r="28" spans="1:14" x14ac:dyDescent="0.25">
      <c r="A28" s="53">
        <f t="shared" si="1"/>
        <v>2026</v>
      </c>
      <c r="B28" s="1">
        <f t="shared" si="1"/>
        <v>2</v>
      </c>
      <c r="C28" s="1">
        <v>418</v>
      </c>
      <c r="D28" s="17"/>
      <c r="E28" s="2"/>
      <c r="F28" s="10"/>
      <c r="G28" s="37" t="s">
        <v>35</v>
      </c>
      <c r="H28" s="1"/>
      <c r="I28" s="26"/>
      <c r="J28" s="1"/>
      <c r="K28" s="1"/>
      <c r="L28" s="1"/>
      <c r="M28" s="29"/>
      <c r="N28" s="32"/>
    </row>
    <row r="29" spans="1:14" x14ac:dyDescent="0.25">
      <c r="A29" s="53">
        <f t="shared" si="1"/>
        <v>2026</v>
      </c>
      <c r="B29" s="1">
        <f t="shared" si="1"/>
        <v>2</v>
      </c>
      <c r="C29" s="1">
        <v>501</v>
      </c>
      <c r="D29" s="17"/>
      <c r="E29" s="2"/>
      <c r="F29" s="10"/>
      <c r="G29" s="37" t="s">
        <v>35</v>
      </c>
      <c r="H29" s="1"/>
      <c r="I29" s="26"/>
      <c r="J29" s="1"/>
      <c r="K29" s="1"/>
      <c r="L29" s="1"/>
      <c r="M29" s="29"/>
      <c r="N29" s="32"/>
    </row>
    <row r="30" spans="1:14" x14ac:dyDescent="0.25">
      <c r="A30" s="53">
        <f t="shared" si="1"/>
        <v>2026</v>
      </c>
      <c r="B30" s="1">
        <f t="shared" si="1"/>
        <v>2</v>
      </c>
      <c r="C30" s="1">
        <v>504</v>
      </c>
      <c r="D30" s="17"/>
      <c r="E30" s="2"/>
      <c r="F30" s="10"/>
      <c r="G30" s="37" t="s">
        <v>35</v>
      </c>
      <c r="H30" s="1"/>
      <c r="I30" s="26"/>
      <c r="J30" s="1"/>
      <c r="K30" s="1"/>
      <c r="L30" s="1"/>
      <c r="M30" s="29"/>
      <c r="N30" s="32"/>
    </row>
    <row r="31" spans="1:14" x14ac:dyDescent="0.25">
      <c r="A31" s="53">
        <f t="shared" si="1"/>
        <v>2026</v>
      </c>
      <c r="B31" s="1">
        <f t="shared" si="1"/>
        <v>2</v>
      </c>
      <c r="C31" s="1">
        <v>508</v>
      </c>
      <c r="D31" s="17"/>
      <c r="E31" s="2"/>
      <c r="F31" s="10"/>
      <c r="G31" s="37" t="s">
        <v>35</v>
      </c>
      <c r="H31" s="1"/>
      <c r="I31" s="39"/>
      <c r="J31" s="55"/>
      <c r="K31" s="1"/>
      <c r="L31" s="1"/>
      <c r="M31" s="2"/>
      <c r="N31" s="32"/>
    </row>
    <row r="32" spans="1:14" x14ac:dyDescent="0.25">
      <c r="A32" s="53">
        <f t="shared" si="1"/>
        <v>2026</v>
      </c>
      <c r="B32" s="1">
        <f t="shared" si="1"/>
        <v>2</v>
      </c>
      <c r="C32" s="1">
        <v>513</v>
      </c>
      <c r="D32" s="17"/>
      <c r="E32" s="2"/>
      <c r="F32" s="10"/>
      <c r="G32" s="37" t="s">
        <v>35</v>
      </c>
      <c r="H32" s="1"/>
      <c r="I32" s="39"/>
      <c r="J32" s="56"/>
      <c r="K32" s="1"/>
      <c r="L32" s="1"/>
      <c r="M32" s="2"/>
      <c r="N32" s="32"/>
    </row>
    <row r="33" spans="1:14" x14ac:dyDescent="0.25">
      <c r="A33" s="53">
        <f t="shared" si="1"/>
        <v>2026</v>
      </c>
      <c r="B33" s="1">
        <f t="shared" si="1"/>
        <v>2</v>
      </c>
      <c r="C33" s="1">
        <v>519</v>
      </c>
      <c r="D33" s="17"/>
      <c r="E33" s="2"/>
      <c r="F33" s="10"/>
      <c r="G33" s="37" t="s">
        <v>35</v>
      </c>
      <c r="H33" s="1"/>
      <c r="I33" s="26"/>
      <c r="J33" s="1"/>
      <c r="K33" s="1"/>
      <c r="L33" s="1"/>
      <c r="M33" s="29"/>
      <c r="N33" s="32"/>
    </row>
    <row r="34" spans="1:14" x14ac:dyDescent="0.25">
      <c r="A34" s="53">
        <f t="shared" si="1"/>
        <v>2026</v>
      </c>
      <c r="B34" s="1">
        <f t="shared" si="1"/>
        <v>2</v>
      </c>
      <c r="C34" s="1">
        <v>520</v>
      </c>
      <c r="D34" s="17"/>
      <c r="E34" s="2"/>
      <c r="F34" s="10"/>
      <c r="G34" s="37" t="s">
        <v>35</v>
      </c>
      <c r="H34" s="1"/>
      <c r="I34" s="26"/>
      <c r="J34" s="1"/>
      <c r="K34" s="1"/>
      <c r="L34" s="1"/>
      <c r="M34" s="29"/>
      <c r="N34" s="32"/>
    </row>
    <row r="35" spans="1:14" x14ac:dyDescent="0.25">
      <c r="A35" s="53">
        <f t="shared" si="1"/>
        <v>2026</v>
      </c>
      <c r="B35" s="1">
        <f t="shared" si="1"/>
        <v>2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</row>
    <row r="36" spans="1:14" x14ac:dyDescent="0.25">
      <c r="A36" s="53">
        <f t="shared" ref="A36:B51" si="2">A35</f>
        <v>2026</v>
      </c>
      <c r="B36" s="1">
        <f t="shared" si="2"/>
        <v>2</v>
      </c>
      <c r="C36" s="1">
        <v>606</v>
      </c>
      <c r="D36" s="17"/>
      <c r="E36" s="2"/>
      <c r="F36" s="10"/>
      <c r="G36" s="37" t="s">
        <v>35</v>
      </c>
      <c r="H36" s="1"/>
      <c r="I36" s="26"/>
      <c r="J36" s="1"/>
      <c r="K36" s="1"/>
      <c r="L36" s="1"/>
      <c r="M36" s="29"/>
      <c r="N36" s="32"/>
    </row>
    <row r="37" spans="1:14" x14ac:dyDescent="0.25">
      <c r="A37" s="53">
        <f t="shared" si="2"/>
        <v>2026</v>
      </c>
      <c r="B37" s="1">
        <f t="shared" si="2"/>
        <v>2</v>
      </c>
      <c r="C37" s="1">
        <v>609</v>
      </c>
      <c r="D37" s="17"/>
      <c r="E37" s="2"/>
      <c r="F37" s="10"/>
      <c r="G37" s="37" t="s">
        <v>35</v>
      </c>
      <c r="H37" s="1"/>
      <c r="I37" s="39"/>
      <c r="J37" s="1"/>
      <c r="K37" s="1"/>
      <c r="L37" s="1"/>
      <c r="M37" s="29"/>
      <c r="N37" s="32"/>
    </row>
    <row r="38" spans="1:14" x14ac:dyDescent="0.25">
      <c r="A38" s="53">
        <f t="shared" si="2"/>
        <v>2026</v>
      </c>
      <c r="B38" s="1">
        <f t="shared" si="2"/>
        <v>2</v>
      </c>
      <c r="C38" s="1">
        <v>610</v>
      </c>
      <c r="D38" s="17"/>
      <c r="E38" s="2"/>
      <c r="F38" s="10"/>
      <c r="G38" s="37" t="s">
        <v>35</v>
      </c>
      <c r="H38" s="1"/>
      <c r="I38" s="39"/>
      <c r="J38" s="1"/>
      <c r="K38" s="1"/>
      <c r="L38" s="1"/>
      <c r="M38" s="29"/>
      <c r="N38" s="32"/>
    </row>
    <row r="39" spans="1:14" x14ac:dyDescent="0.25">
      <c r="A39" s="53">
        <f t="shared" si="2"/>
        <v>2026</v>
      </c>
      <c r="B39" s="1">
        <f t="shared" si="2"/>
        <v>2</v>
      </c>
      <c r="C39" s="1">
        <v>703</v>
      </c>
      <c r="D39" s="17"/>
      <c r="E39" s="2"/>
      <c r="F39" s="10"/>
      <c r="G39" s="37" t="s">
        <v>35</v>
      </c>
      <c r="H39" s="1"/>
      <c r="I39" s="26"/>
      <c r="J39" s="1"/>
      <c r="K39" s="1"/>
      <c r="L39" s="1"/>
      <c r="M39" s="29"/>
      <c r="N39" s="32"/>
    </row>
    <row r="40" spans="1:14" x14ac:dyDescent="0.25">
      <c r="A40" s="53">
        <f t="shared" si="2"/>
        <v>2026</v>
      </c>
      <c r="B40" s="1">
        <f t="shared" si="2"/>
        <v>2</v>
      </c>
      <c r="C40" s="1">
        <v>704</v>
      </c>
      <c r="D40" s="17"/>
      <c r="E40" s="2"/>
      <c r="F40" s="10"/>
      <c r="G40" s="37" t="s">
        <v>35</v>
      </c>
      <c r="H40" s="1"/>
      <c r="I40" s="26"/>
      <c r="J40" s="1"/>
      <c r="K40" s="1"/>
      <c r="L40" s="1"/>
      <c r="M40" s="29"/>
      <c r="N40" s="32"/>
    </row>
    <row r="41" spans="1:14" x14ac:dyDescent="0.25">
      <c r="A41" s="53">
        <f t="shared" si="2"/>
        <v>2026</v>
      </c>
      <c r="B41" s="1">
        <f t="shared" si="2"/>
        <v>2</v>
      </c>
      <c r="C41" s="1">
        <v>705</v>
      </c>
      <c r="D41" s="17"/>
      <c r="E41" s="2"/>
      <c r="F41" s="10"/>
      <c r="G41" s="37" t="s">
        <v>35</v>
      </c>
      <c r="H41" s="1"/>
      <c r="I41" s="26"/>
      <c r="J41" s="1"/>
      <c r="K41" s="1"/>
      <c r="L41" s="1"/>
      <c r="M41" s="29"/>
      <c r="N41" s="32"/>
    </row>
    <row r="42" spans="1:14" x14ac:dyDescent="0.25">
      <c r="A42" s="53">
        <f t="shared" si="2"/>
        <v>2026</v>
      </c>
      <c r="B42" s="1">
        <f t="shared" si="2"/>
        <v>2</v>
      </c>
      <c r="C42" s="1">
        <v>706</v>
      </c>
      <c r="D42" s="17"/>
      <c r="E42" s="2"/>
      <c r="F42" s="10"/>
      <c r="G42" s="37" t="s">
        <v>35</v>
      </c>
      <c r="H42" s="1"/>
      <c r="I42" s="26"/>
      <c r="J42" s="1"/>
      <c r="K42" s="1"/>
      <c r="L42" s="1"/>
      <c r="M42" s="29"/>
      <c r="N42" s="32"/>
    </row>
    <row r="43" spans="1:14" x14ac:dyDescent="0.25">
      <c r="A43" s="53">
        <f t="shared" si="2"/>
        <v>2026</v>
      </c>
      <c r="B43" s="1">
        <f t="shared" si="2"/>
        <v>2</v>
      </c>
      <c r="C43" s="1">
        <v>707</v>
      </c>
      <c r="D43" s="17"/>
      <c r="E43" s="2"/>
      <c r="F43" s="10"/>
      <c r="G43" s="37" t="s">
        <v>35</v>
      </c>
      <c r="H43" s="1"/>
      <c r="I43" s="26"/>
      <c r="J43" s="1"/>
      <c r="K43" s="1"/>
      <c r="L43" s="1"/>
      <c r="M43" s="29"/>
      <c r="N43" s="32"/>
    </row>
    <row r="44" spans="1:14" x14ac:dyDescent="0.25">
      <c r="A44" s="53">
        <f t="shared" si="2"/>
        <v>2026</v>
      </c>
      <c r="B44" s="1">
        <f t="shared" si="2"/>
        <v>2</v>
      </c>
      <c r="C44" s="1">
        <v>711</v>
      </c>
      <c r="D44" s="17"/>
      <c r="E44" s="2"/>
      <c r="F44" s="10"/>
      <c r="G44" s="37" t="s">
        <v>35</v>
      </c>
      <c r="H44" s="1"/>
      <c r="I44" s="26"/>
      <c r="J44" s="1"/>
      <c r="K44" s="1"/>
      <c r="L44" s="1"/>
      <c r="M44" s="29"/>
      <c r="N44" s="32"/>
    </row>
    <row r="45" spans="1:14" x14ac:dyDescent="0.25">
      <c r="A45" s="53">
        <f t="shared" si="2"/>
        <v>2026</v>
      </c>
      <c r="B45" s="1">
        <f t="shared" si="2"/>
        <v>2</v>
      </c>
      <c r="C45" s="1">
        <v>716</v>
      </c>
      <c r="D45" s="17"/>
      <c r="E45" s="2"/>
      <c r="F45" s="10"/>
      <c r="G45" s="37" t="s">
        <v>35</v>
      </c>
      <c r="H45" s="1"/>
      <c r="I45" s="26"/>
      <c r="J45" s="1"/>
      <c r="K45" s="1"/>
      <c r="L45" s="1"/>
      <c r="M45" s="29"/>
      <c r="N45" s="32"/>
    </row>
    <row r="46" spans="1:14" x14ac:dyDescent="0.25">
      <c r="A46" s="53">
        <f t="shared" si="2"/>
        <v>2026</v>
      </c>
      <c r="B46" s="1">
        <f t="shared" si="2"/>
        <v>2</v>
      </c>
      <c r="C46" s="1">
        <v>723</v>
      </c>
      <c r="D46" s="17"/>
      <c r="E46" s="2"/>
      <c r="F46" s="10"/>
      <c r="G46" s="37" t="s">
        <v>35</v>
      </c>
      <c r="H46" s="1"/>
      <c r="I46" s="26"/>
      <c r="J46" s="1"/>
      <c r="K46" s="1"/>
      <c r="L46" s="1"/>
      <c r="M46" s="29"/>
      <c r="N46" s="32"/>
    </row>
    <row r="47" spans="1:14" x14ac:dyDescent="0.25">
      <c r="A47" s="53">
        <f t="shared" si="2"/>
        <v>2026</v>
      </c>
      <c r="B47" s="1">
        <f t="shared" si="2"/>
        <v>2</v>
      </c>
      <c r="C47" s="1">
        <v>801</v>
      </c>
      <c r="D47" s="17"/>
      <c r="E47" s="2"/>
      <c r="F47" s="10"/>
      <c r="G47" s="37" t="s">
        <v>35</v>
      </c>
      <c r="H47" s="1"/>
      <c r="I47" s="26"/>
      <c r="J47" s="1"/>
      <c r="K47" s="1"/>
      <c r="L47" s="1"/>
      <c r="M47" s="29"/>
      <c r="N47" s="32"/>
    </row>
    <row r="48" spans="1:14" x14ac:dyDescent="0.25">
      <c r="A48" s="53">
        <f t="shared" si="2"/>
        <v>2026</v>
      </c>
      <c r="B48" s="1">
        <f t="shared" si="2"/>
        <v>2</v>
      </c>
      <c r="C48" s="1">
        <v>804</v>
      </c>
      <c r="D48" s="17"/>
      <c r="E48" s="2"/>
      <c r="F48" s="10"/>
      <c r="G48" s="37" t="s">
        <v>35</v>
      </c>
      <c r="H48" s="1"/>
      <c r="I48" s="26"/>
      <c r="J48" s="1"/>
      <c r="K48" s="1"/>
      <c r="L48" s="1"/>
      <c r="M48" s="29"/>
      <c r="N48" s="32"/>
    </row>
    <row r="49" spans="1:14" x14ac:dyDescent="0.25">
      <c r="A49" s="75">
        <f t="shared" si="2"/>
        <v>2026</v>
      </c>
      <c r="B49" s="45">
        <f t="shared" si="2"/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23</v>
      </c>
      <c r="H49" s="3" t="s">
        <v>27</v>
      </c>
      <c r="I49" s="27">
        <v>2</v>
      </c>
      <c r="J49" s="3" t="s">
        <v>25</v>
      </c>
      <c r="K49" s="3">
        <v>7</v>
      </c>
      <c r="L49" s="3">
        <v>7</v>
      </c>
      <c r="M49" s="30">
        <v>7</v>
      </c>
      <c r="N49" s="33">
        <v>0</v>
      </c>
    </row>
    <row r="50" spans="1:14" x14ac:dyDescent="0.25">
      <c r="A50" s="75">
        <f t="shared" si="2"/>
        <v>2026</v>
      </c>
      <c r="B50" s="45">
        <f t="shared" si="2"/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</row>
    <row r="51" spans="1:14" x14ac:dyDescent="0.25">
      <c r="A51" s="53">
        <f t="shared" si="2"/>
        <v>2026</v>
      </c>
      <c r="B51" s="1">
        <f t="shared" si="2"/>
        <v>2</v>
      </c>
      <c r="C51" s="1">
        <v>815</v>
      </c>
      <c r="D51" s="17">
        <v>46034</v>
      </c>
      <c r="E51" s="2">
        <v>22.6</v>
      </c>
      <c r="F51" s="10">
        <v>35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</row>
    <row r="52" spans="1:14" x14ac:dyDescent="0.25">
      <c r="A52" s="53">
        <f t="shared" ref="A52:B59" si="3">A51</f>
        <v>2026</v>
      </c>
      <c r="B52" s="1">
        <f t="shared" si="3"/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</row>
    <row r="53" spans="1:14" x14ac:dyDescent="0.25">
      <c r="A53" s="53">
        <f t="shared" si="3"/>
        <v>2026</v>
      </c>
      <c r="B53" s="1">
        <f t="shared" si="3"/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f t="shared" si="3"/>
        <v>2026</v>
      </c>
      <c r="B54" s="1">
        <f t="shared" si="3"/>
        <v>2</v>
      </c>
      <c r="C54" s="1">
        <v>906</v>
      </c>
      <c r="D54" s="17"/>
      <c r="E54" s="2"/>
      <c r="F54" s="10"/>
      <c r="G54" s="37" t="s">
        <v>35</v>
      </c>
      <c r="H54" s="1"/>
      <c r="I54" s="10"/>
      <c r="J54" s="1"/>
      <c r="K54" s="1"/>
      <c r="L54" s="1"/>
      <c r="M54" s="29"/>
      <c r="N54" s="32"/>
    </row>
    <row r="55" spans="1:14" x14ac:dyDescent="0.25">
      <c r="A55" s="53">
        <f t="shared" si="3"/>
        <v>2026</v>
      </c>
      <c r="B55" s="1">
        <f t="shared" si="3"/>
        <v>2</v>
      </c>
      <c r="C55" s="1">
        <v>910</v>
      </c>
      <c r="D55" s="17"/>
      <c r="E55" s="2"/>
      <c r="F55" s="10"/>
      <c r="G55" s="37" t="s">
        <v>35</v>
      </c>
      <c r="H55" s="1"/>
      <c r="I55" s="10"/>
      <c r="J55" s="1"/>
      <c r="K55" s="1"/>
      <c r="L55" s="1"/>
      <c r="M55" s="29"/>
      <c r="N55" s="32"/>
    </row>
    <row r="56" spans="1:14" x14ac:dyDescent="0.25">
      <c r="A56" s="53">
        <f t="shared" si="3"/>
        <v>2026</v>
      </c>
      <c r="B56" s="1">
        <f t="shared" si="3"/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f t="shared" si="3"/>
        <v>2026</v>
      </c>
      <c r="B57" s="1">
        <f t="shared" si="3"/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f t="shared" si="3"/>
        <v>2026</v>
      </c>
      <c r="B58" s="1">
        <f t="shared" si="3"/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f t="shared" si="3"/>
        <v>2026</v>
      </c>
      <c r="B59" s="1">
        <f t="shared" si="3"/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f t="shared" ref="A52:B60" si="4">A59</f>
        <v>2026</v>
      </c>
      <c r="B60" s="68">
        <f t="shared" si="4"/>
        <v>2</v>
      </c>
      <c r="C60" s="68">
        <v>919</v>
      </c>
      <c r="D60" s="69"/>
      <c r="E60" s="70"/>
      <c r="F60" s="71"/>
      <c r="G60" s="37" t="s">
        <v>35</v>
      </c>
      <c r="H60" s="68"/>
      <c r="I60" s="71"/>
      <c r="J60" s="68"/>
      <c r="K60" s="68"/>
      <c r="L60" s="68"/>
      <c r="M60" s="73"/>
      <c r="N60" s="74"/>
    </row>
    <row r="61" spans="1:14" ht="18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ht="2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ht="2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3">
    <dataValidation type="list" allowBlank="1" showInputMessage="1" showErrorMessage="1" sqref="J2:J60" xr:uid="{ADDFAC57-75A0-48A4-A8B7-4DA167BC692B}">
      <formula1>"Preliminary, Completed"</formula1>
    </dataValidation>
    <dataValidation type="list" allowBlank="1" showInputMessage="1" showErrorMessage="1" sqref="H2:H60" xr:uid="{21B8BF86-70DB-416F-997F-6EAAEF53F371}">
      <formula1>"No Smelt Catch, Longfin Smelt "</formula1>
    </dataValidation>
    <dataValidation type="list" allowBlank="1" showInputMessage="1" showErrorMessage="1" sqref="G2:G60" xr:uid="{7760E196-FF4A-4527-ABCB-93048E043368}">
      <formula1>"Not Processed, Processed"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topLeftCell="A6" workbookViewId="0">
      <selection sqref="A1:K1"/>
    </sheetView>
  </sheetViews>
  <sheetFormatPr defaultRowHeight="15" x14ac:dyDescent="0.25"/>
  <sheetData>
    <row r="1" spans="1:14" ht="25.5" x14ac:dyDescent="0.35">
      <c r="A1" s="95" t="s">
        <v>28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12</vt:lpstr>
      <vt:lpstr>Survey 13</vt:lpstr>
      <vt:lpstr>Survey 1</vt:lpstr>
      <vt:lpstr>Survey 2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2026-01-13T17:28:22Z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