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SLS\"/>
    </mc:Choice>
  </mc:AlternateContent>
  <xr:revisionPtr revIDLastSave="0" documentId="13_ncr:1_{E04D0968-4F0A-4000-803A-BADC41CACD96}" xr6:coauthVersionLast="47" xr6:coauthVersionMax="47" xr10:uidLastSave="{00000000-0000-0000-0000-000000000000}"/>
  <bookViews>
    <workbookView xWindow="-96" yWindow="-96" windowWidth="23232" windowHeight="13872" xr2:uid="{4766FD0C-0215-4C52-A774-645D7D849989}"/>
  </bookViews>
  <sheets>
    <sheet name="Summary" sheetId="4" r:id="rId1"/>
    <sheet name="Week1" sheetId="1" r:id="rId2"/>
    <sheet name="Week2" sheetId="2" r:id="rId3"/>
    <sheet name="Week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3" i="3" l="1"/>
  <c r="L22" i="3"/>
  <c r="L10" i="3"/>
  <c r="L22" i="2" l="1"/>
</calcChain>
</file>

<file path=xl/sharedStrings.xml><?xml version="1.0" encoding="utf-8"?>
<sst xmlns="http://schemas.openxmlformats.org/spreadsheetml/2006/main" count="172" uniqueCount="27">
  <si>
    <t>OMR Scenario
(cfs)</t>
  </si>
  <si>
    <t xml:space="preserve">                               Region
       Metric</t>
  </si>
  <si>
    <t>Total</t>
  </si>
  <si>
    <t>LFS Larva Abundance Estimate</t>
  </si>
  <si>
    <t>PTM Entrained (%)</t>
  </si>
  <si>
    <t>Smelt Larva Entrained (#)</t>
  </si>
  <si>
    <t>&lt;0.1</t>
  </si>
  <si>
    <t>&lt;0.1%</t>
  </si>
  <si>
    <t>Total 
(% of Delta-wide abundance)</t>
  </si>
  <si>
    <t xml:space="preserve">West </t>
  </si>
  <si>
    <t>Suisun</t>
  </si>
  <si>
    <t>Sacramento/
North Delta</t>
  </si>
  <si>
    <t>Lower San Joaquin</t>
  </si>
  <si>
    <t>Lower Sacramento</t>
  </si>
  <si>
    <t>South Delta</t>
  </si>
  <si>
    <t>East</t>
  </si>
  <si>
    <t>Design-based Method</t>
  </si>
  <si>
    <t>RESULTS SHOWN FOR Week 1</t>
  </si>
  <si>
    <t>RESULTS SHOWN FOR SLS SURVEY 5 FROM 2026-02-23T08:00:00Z, processing as of 03/10/2026</t>
  </si>
  <si>
    <t>Kimmerer Method</t>
  </si>
  <si>
    <t>RESULTS SHOWN FOR Week 3</t>
  </si>
  <si>
    <t>RESULTS SHOWN FOR Week 2</t>
  </si>
  <si>
    <t>OMR = -6,500</t>
  </si>
  <si>
    <t>OMR = -5,000</t>
  </si>
  <si>
    <t>OMR = -3,500</t>
  </si>
  <si>
    <t>OMR = -2,500</t>
  </si>
  <si>
    <t>RESULTS SHOWN FOR SLS SURVEY 5 FROM 2026-02-23T08:00:00Z, processing as of 03/20/2026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</si>
</sst>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F9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/>
    <xf numFmtId="0" fontId="3" fillId="0" borderId="1" xfId="0" applyFont="1" applyBorder="1" applyAlignment="1">
      <alignment horizontal="right" vertical="center"/>
    </xf>
    <xf numFmtId="3" fontId="4" fillId="2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Border="1"/>
    <xf numFmtId="164" fontId="5" fillId="3" borderId="1" xfId="1" applyNumberFormat="1" applyFont="1" applyFill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0" fontId="2" fillId="0" borderId="0" xfId="0" applyFont="1"/>
    <xf numFmtId="0" fontId="6" fillId="4" borderId="0" xfId="0" applyFont="1" applyFill="1"/>
    <xf numFmtId="0" fontId="0" fillId="4" borderId="0" xfId="0" applyFill="1"/>
    <xf numFmtId="10" fontId="3" fillId="0" borderId="3" xfId="1" applyNumberFormat="1" applyFont="1" applyFill="1" applyBorder="1" applyAlignment="1">
      <alignment horizontal="center" vertical="center" wrapText="1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10155561409841"/>
          <c:y val="0.14520215276120785"/>
          <c:w val="0.81163002858843403"/>
          <c:h val="0.643926226393418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Week1!$A$3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Week1!$A$6:$A$9</c:f>
              <c:numCache>
                <c:formatCode>#,##0</c:formatCode>
                <c:ptCount val="4"/>
                <c:pt idx="0">
                  <c:v>-6500</c:v>
                </c:pt>
                <c:pt idx="1">
                  <c:v>-5000</c:v>
                </c:pt>
                <c:pt idx="2">
                  <c:v>-3500</c:v>
                </c:pt>
                <c:pt idx="3">
                  <c:v>-2000</c:v>
                </c:pt>
              </c:numCache>
            </c:numRef>
          </c:cat>
          <c:val>
            <c:numRef>
              <c:f>Week1!$L$10:$L$13</c:f>
              <c:numCache>
                <c:formatCode>0.00%</c:formatCode>
                <c:ptCount val="4"/>
                <c:pt idx="0">
                  <c:v>5.0000000000000001E-4</c:v>
                </c:pt>
                <c:pt idx="1">
                  <c:v>5.0000000000000001E-4</c:v>
                </c:pt>
                <c:pt idx="2">
                  <c:v>5.0000000000000001E-4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F-4CD5-BB5C-3EC70B6B05A7}"/>
            </c:ext>
          </c:extLst>
        </c:ser>
        <c:ser>
          <c:idx val="1"/>
          <c:order val="1"/>
          <c:tx>
            <c:strRef>
              <c:f>Week1!$A$15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Week1!$A$6:$A$9</c:f>
              <c:numCache>
                <c:formatCode>#,##0</c:formatCode>
                <c:ptCount val="4"/>
                <c:pt idx="0">
                  <c:v>-6500</c:v>
                </c:pt>
                <c:pt idx="1">
                  <c:v>-5000</c:v>
                </c:pt>
                <c:pt idx="2">
                  <c:v>-3500</c:v>
                </c:pt>
                <c:pt idx="3">
                  <c:v>-2000</c:v>
                </c:pt>
              </c:numCache>
            </c:numRef>
          </c:cat>
          <c:val>
            <c:numRef>
              <c:f>Week1!$L$22:$L$25</c:f>
              <c:numCache>
                <c:formatCode>0.00%</c:formatCode>
                <c:ptCount val="4"/>
                <c:pt idx="0">
                  <c:v>5.0000000000000001E-4</c:v>
                </c:pt>
                <c:pt idx="1">
                  <c:v>5.0000000000000001E-4</c:v>
                </c:pt>
                <c:pt idx="2">
                  <c:v>5.0000000000000001E-4</c:v>
                </c:pt>
                <c:pt idx="3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1F-4CD5-BB5C-3EC70B6B0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OMR Projection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  <c:max val="2.5000000000000005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Delta-wide LFS Entrainment (% of total population)</a:t>
                </a:r>
              </a:p>
            </c:rich>
          </c:tx>
          <c:layout>
            <c:manualLayout>
              <c:xMode val="edge"/>
              <c:yMode val="edge"/>
              <c:x val="0.26961560102384968"/>
              <c:y val="0.89152777777777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126925928152111"/>
          <c:y val="0.16948947038185883"/>
          <c:w val="0.29357656628799261"/>
          <c:h val="0.17324884894438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10155561409841"/>
          <c:y val="0.14520215276120785"/>
          <c:w val="0.81163002858843403"/>
          <c:h val="0.643926226393418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Week2!$A$3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Week2!$A$6:$A$9</c:f>
              <c:numCache>
                <c:formatCode>#,##0</c:formatCode>
                <c:ptCount val="4"/>
                <c:pt idx="0">
                  <c:v>-6500</c:v>
                </c:pt>
                <c:pt idx="1">
                  <c:v>-5000</c:v>
                </c:pt>
                <c:pt idx="2">
                  <c:v>-3500</c:v>
                </c:pt>
                <c:pt idx="3">
                  <c:v>-2000</c:v>
                </c:pt>
              </c:numCache>
            </c:numRef>
          </c:cat>
          <c:val>
            <c:numRef>
              <c:f>Week2!$L$10:$L$13</c:f>
              <c:numCache>
                <c:formatCode>0.00%</c:formatCode>
                <c:ptCount val="4"/>
                <c:pt idx="0">
                  <c:v>5.0000000000000001E-4</c:v>
                </c:pt>
                <c:pt idx="1">
                  <c:v>5.0000000000000001E-4</c:v>
                </c:pt>
                <c:pt idx="2">
                  <c:v>5.0000000000000001E-4</c:v>
                </c:pt>
                <c:pt idx="3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6-48E5-813E-DB90CF2AE893}"/>
            </c:ext>
          </c:extLst>
        </c:ser>
        <c:ser>
          <c:idx val="1"/>
          <c:order val="1"/>
          <c:tx>
            <c:strRef>
              <c:f>Week2!$A$15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Week2!$A$6:$A$9</c:f>
              <c:numCache>
                <c:formatCode>#,##0</c:formatCode>
                <c:ptCount val="4"/>
                <c:pt idx="0">
                  <c:v>-6500</c:v>
                </c:pt>
                <c:pt idx="1">
                  <c:v>-5000</c:v>
                </c:pt>
                <c:pt idx="2">
                  <c:v>-3500</c:v>
                </c:pt>
                <c:pt idx="3">
                  <c:v>-2000</c:v>
                </c:pt>
              </c:numCache>
            </c:numRef>
          </c:cat>
          <c:val>
            <c:numRef>
              <c:f>Week2!$L$22:$L$25</c:f>
              <c:numCache>
                <c:formatCode>0.00%</c:formatCode>
                <c:ptCount val="4"/>
                <c:pt idx="0">
                  <c:v>1.0594339273265786E-3</c:v>
                </c:pt>
                <c:pt idx="1">
                  <c:v>5.0000000000000001E-4</c:v>
                </c:pt>
                <c:pt idx="2">
                  <c:v>5.0000000000000001E-4</c:v>
                </c:pt>
                <c:pt idx="3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66-48E5-813E-DB90CF2AE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OMR Projection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Delta-wide LFS Entrainment (% of total population)</a:t>
                </a:r>
              </a:p>
            </c:rich>
          </c:tx>
          <c:layout>
            <c:manualLayout>
              <c:xMode val="edge"/>
              <c:yMode val="edge"/>
              <c:x val="0.26961560102384968"/>
              <c:y val="0.89152777777777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126925928152111"/>
          <c:y val="0.16948947038185883"/>
          <c:w val="0.29357656628799261"/>
          <c:h val="0.17324884894438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10155561409841"/>
          <c:y val="0.14520215276120785"/>
          <c:w val="0.81163002858843403"/>
          <c:h val="0.643926226393418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Week3!$A$3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Week3!$A$6:$A$9</c:f>
              <c:numCache>
                <c:formatCode>#,##0</c:formatCode>
                <c:ptCount val="4"/>
                <c:pt idx="0">
                  <c:v>-6500</c:v>
                </c:pt>
                <c:pt idx="1">
                  <c:v>-5000</c:v>
                </c:pt>
                <c:pt idx="2">
                  <c:v>-3500</c:v>
                </c:pt>
                <c:pt idx="3">
                  <c:v>-2000</c:v>
                </c:pt>
              </c:numCache>
            </c:numRef>
          </c:cat>
          <c:val>
            <c:numRef>
              <c:f>Week3!$L$10:$L$13</c:f>
              <c:numCache>
                <c:formatCode>0.00%</c:formatCode>
                <c:ptCount val="4"/>
                <c:pt idx="0">
                  <c:v>1.6823624235776792E-3</c:v>
                </c:pt>
                <c:pt idx="1">
                  <c:v>5.0000000000000001E-4</c:v>
                </c:pt>
                <c:pt idx="2">
                  <c:v>5.0000000000000001E-4</c:v>
                </c:pt>
                <c:pt idx="3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3-4A76-A7D6-142B24ABBFFE}"/>
            </c:ext>
          </c:extLst>
        </c:ser>
        <c:ser>
          <c:idx val="1"/>
          <c:order val="1"/>
          <c:tx>
            <c:strRef>
              <c:f>Week3!$A$15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Week3!$A$6:$A$9</c:f>
              <c:numCache>
                <c:formatCode>#,##0</c:formatCode>
                <c:ptCount val="4"/>
                <c:pt idx="0">
                  <c:v>-6500</c:v>
                </c:pt>
                <c:pt idx="1">
                  <c:v>-5000</c:v>
                </c:pt>
                <c:pt idx="2">
                  <c:v>-3500</c:v>
                </c:pt>
                <c:pt idx="3">
                  <c:v>-2000</c:v>
                </c:pt>
              </c:numCache>
            </c:numRef>
          </c:cat>
          <c:val>
            <c:numRef>
              <c:f>Week3!$L$22:$L$25</c:f>
              <c:numCache>
                <c:formatCode>0.00%</c:formatCode>
                <c:ptCount val="4"/>
                <c:pt idx="0">
                  <c:v>1.5391860784314659E-3</c:v>
                </c:pt>
                <c:pt idx="1">
                  <c:v>1.0806934486355922E-3</c:v>
                </c:pt>
                <c:pt idx="2">
                  <c:v>5.0000000000000001E-4</c:v>
                </c:pt>
                <c:pt idx="3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93-4A76-A7D6-142B24ABB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OMR Projection (cfs)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Delta-wide LFS Entrainment (% of total population)</a:t>
                </a:r>
              </a:p>
            </c:rich>
          </c:tx>
          <c:layout>
            <c:manualLayout>
              <c:xMode val="edge"/>
              <c:yMode val="edge"/>
              <c:x val="0.26961560102384968"/>
              <c:y val="0.89152777777777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126925928152111"/>
          <c:y val="0.16948947038185883"/>
          <c:w val="0.29357656628799261"/>
          <c:h val="0.17324884894438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66483063277682"/>
          <c:y val="4.4230159643732073E-2"/>
          <c:w val="0.78126139278604767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Week1!$A$3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Week1!$C$5:$I$5</c:f>
              <c:numCache>
                <c:formatCode>#,##0</c:formatCode>
                <c:ptCount val="7"/>
                <c:pt idx="0">
                  <c:v>92127619</c:v>
                </c:pt>
                <c:pt idx="1">
                  <c:v>110331533</c:v>
                </c:pt>
                <c:pt idx="2">
                  <c:v>914595</c:v>
                </c:pt>
                <c:pt idx="3">
                  <c:v>4403423</c:v>
                </c:pt>
                <c:pt idx="4">
                  <c:v>14782703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5-4406-BCA8-BD0ED0CDCF87}"/>
            </c:ext>
          </c:extLst>
        </c:ser>
        <c:ser>
          <c:idx val="1"/>
          <c:order val="1"/>
          <c:tx>
            <c:strRef>
              <c:f>Week1!$A$15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Week1!$C$17:$I$17</c:f>
              <c:numCache>
                <c:formatCode>#,##0</c:formatCode>
                <c:ptCount val="7"/>
                <c:pt idx="0">
                  <c:v>201259582.30036199</c:v>
                </c:pt>
                <c:pt idx="1">
                  <c:v>125682276.53058419</c:v>
                </c:pt>
                <c:pt idx="2">
                  <c:v>630445.97086776991</c:v>
                </c:pt>
                <c:pt idx="3">
                  <c:v>7972275.6574883545</c:v>
                </c:pt>
                <c:pt idx="4">
                  <c:v>24443347.242371023</c:v>
                </c:pt>
                <c:pt idx="5">
                  <c:v>385731.46276917664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75-4406-BCA8-BD0ED0CDC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Mean</a:t>
                </a:r>
                <a:r>
                  <a:rPr lang="en-US" sz="1800" b="1" baseline="0"/>
                  <a:t> Abundance by Region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211222245867913"/>
          <c:y val="6.6322338404060446E-2"/>
          <c:w val="0.29357656628799261"/>
          <c:h val="8.3252012960099597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Week1!$A$3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Week1!$C$6:$I$6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0.23421569759581362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4-4CC3-896E-EE8FC8BE23B0}"/>
            </c:ext>
          </c:extLst>
        </c:ser>
        <c:ser>
          <c:idx val="1"/>
          <c:order val="1"/>
          <c:tx>
            <c:strRef>
              <c:f>Week1!$A$15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Week1!$C$18:$I$18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0.23673807027995158</c:v>
                </c:pt>
                <c:pt idx="4">
                  <c:v>0</c:v>
                </c:pt>
                <c:pt idx="5">
                  <c:v>41.415492049728151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54-4CC3-896E-EE8FC8BE2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Week2!$A$3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Week2!$C$4:$I$4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Week2!$C$6:$I$6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0.80000001192092907</c:v>
                </c:pt>
                <c:pt idx="3">
                  <c:v>2.3811929119848823</c:v>
                </c:pt>
                <c:pt idx="4">
                  <c:v>0.15462922160642911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2-4D6F-9C9A-1BE306C29CE2}"/>
            </c:ext>
          </c:extLst>
        </c:ser>
        <c:ser>
          <c:idx val="1"/>
          <c:order val="1"/>
          <c:tx>
            <c:strRef>
              <c:f>Week2!$A$15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Week2!$C$4:$I$4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Week2!$C$18:$I$18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0.79680904553594489</c:v>
                </c:pt>
                <c:pt idx="3">
                  <c:v>1.9570665047227855</c:v>
                </c:pt>
                <c:pt idx="4">
                  <c:v>0</c:v>
                </c:pt>
                <c:pt idx="5">
                  <c:v>54.79311242145284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82-4D6F-9C9A-1BE306C29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Week3!$A$3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Week3!$C$4:$I$4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Week3!$C$6:$I$6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1.699999988079071</c:v>
                </c:pt>
                <c:pt idx="3">
                  <c:v>5.4332273152173594</c:v>
                </c:pt>
                <c:pt idx="4">
                  <c:v>0.80925843670054798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B-489D-BAB2-48CBA26DCA39}"/>
            </c:ext>
          </c:extLst>
        </c:ser>
        <c:ser>
          <c:idx val="1"/>
          <c:order val="1"/>
          <c:tx>
            <c:strRef>
              <c:f>Week3!$A$15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Week3!$C$4:$I$4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Week3!$C$18:$I$18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2.1929950270551926</c:v>
                </c:pt>
                <c:pt idx="3">
                  <c:v>3.5802716664961549</c:v>
                </c:pt>
                <c:pt idx="4">
                  <c:v>0.12956483180494305</c:v>
                </c:pt>
                <c:pt idx="5">
                  <c:v>58.008584661840622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CB-489D-BAB2-48CBA26DC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Week1!$A$3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Week1!$C$7:$I$7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7-45DF-8206-CFF424B05807}"/>
            </c:ext>
          </c:extLst>
        </c:ser>
        <c:ser>
          <c:idx val="1"/>
          <c:order val="1"/>
          <c:tx>
            <c:strRef>
              <c:f>Week1!$A$15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Week1!$C$19:$I$19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33.533366983436984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B7-45DF-8206-CFF424B05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Week2!$A$3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Week2!$C$4:$I$4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Week2!$C$7:$I$7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0.70000000298023224</c:v>
                </c:pt>
                <c:pt idx="3">
                  <c:v>1.5224019936551196</c:v>
                </c:pt>
                <c:pt idx="4">
                  <c:v>0.22185169037552643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1-40D1-B40C-177C084DC2B4}"/>
            </c:ext>
          </c:extLst>
        </c:ser>
        <c:ser>
          <c:idx val="1"/>
          <c:order val="1"/>
          <c:tx>
            <c:strRef>
              <c:f>Week2!$A$15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Week2!$C$4:$I$4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Week2!$C$19:$I$19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0.36601837472828269</c:v>
                </c:pt>
                <c:pt idx="3">
                  <c:v>1.0211805443666728</c:v>
                </c:pt>
                <c:pt idx="4">
                  <c:v>0</c:v>
                </c:pt>
                <c:pt idx="5">
                  <c:v>49.179769645008733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71-40D1-B40C-177C084DC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Week3!$A$3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Week3!$C$4:$I$4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Week3!$C$7:$I$7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1.3000000119209292</c:v>
                </c:pt>
                <c:pt idx="3">
                  <c:v>3.3595018623488389</c:v>
                </c:pt>
                <c:pt idx="4">
                  <c:v>0.23277753488721234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8F-44E9-9C76-6F0294F71935}"/>
            </c:ext>
          </c:extLst>
        </c:ser>
        <c:ser>
          <c:idx val="1"/>
          <c:order val="1"/>
          <c:tx>
            <c:strRef>
              <c:f>Week3!$A$15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Week3!$C$4:$I$4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Week3!$C$19:$I$19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0.85862246819595067</c:v>
                </c:pt>
                <c:pt idx="3">
                  <c:v>2.0918560557701826</c:v>
                </c:pt>
                <c:pt idx="4">
                  <c:v>0</c:v>
                </c:pt>
                <c:pt idx="5">
                  <c:v>53.797474552161731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8F-44E9-9C76-6F0294F71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Week1!$A$3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Week1!$C$8:$I$8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5-4A51-A761-B6B33A7B26BF}"/>
            </c:ext>
          </c:extLst>
        </c:ser>
        <c:ser>
          <c:idx val="1"/>
          <c:order val="1"/>
          <c:tx>
            <c:strRef>
              <c:f>Week1!$A$15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Week1!$C$20:$I$20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24.749758086622478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C5-4A51-A761-B6B33A7B2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Week2!$A$3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Week2!$C$4:$I$4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Week2!$C$8:$I$8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0.20000000298023227</c:v>
                </c:pt>
                <c:pt idx="3">
                  <c:v>0.5293954650176047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0-40FD-B88B-088896673CB3}"/>
            </c:ext>
          </c:extLst>
        </c:ser>
        <c:ser>
          <c:idx val="1"/>
          <c:order val="1"/>
          <c:tx>
            <c:strRef>
              <c:f>Week2!$A$15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Week2!$C$4:$I$4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Week2!$C$20:$I$20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0.17960321025852821</c:v>
                </c:pt>
                <c:pt idx="3">
                  <c:v>0.40615438798866832</c:v>
                </c:pt>
                <c:pt idx="4">
                  <c:v>0</c:v>
                </c:pt>
                <c:pt idx="5">
                  <c:v>41.708967991510008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0-40FD-B88B-088896673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Week3!$A$3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Week3!$C$4:$I$4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Week3!$C$8:$I$8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0.30000000447034836</c:v>
                </c:pt>
                <c:pt idx="3">
                  <c:v>1.3101144414921571</c:v>
                </c:pt>
                <c:pt idx="4">
                  <c:v>0.21092584749191814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72-4EB9-9C20-FD14F0C0D1E9}"/>
            </c:ext>
          </c:extLst>
        </c:ser>
        <c:ser>
          <c:idx val="1"/>
          <c:order val="1"/>
          <c:tx>
            <c:strRef>
              <c:f>Week3!$A$15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Week3!$C$4:$I$4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Week3!$C$20:$I$20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0.32899971544154533</c:v>
                </c:pt>
                <c:pt idx="3">
                  <c:v>0.99955624657072739</c:v>
                </c:pt>
                <c:pt idx="4">
                  <c:v>0</c:v>
                </c:pt>
                <c:pt idx="5">
                  <c:v>47.812648270613863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72-4EB9-9C20-FD14F0C0D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Week1!$A$3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Week1!$C$9:$I$9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91-4549-9B08-F5403D9B2FE6}"/>
            </c:ext>
          </c:extLst>
        </c:ser>
        <c:ser>
          <c:idx val="1"/>
          <c:order val="1"/>
          <c:tx>
            <c:strRef>
              <c:f>Week1!$A$15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Week1!$C$21:$I$21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8.5557665121205417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91-4549-9B08-F5403D9B2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Week2!$A$3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Week2!$C$4:$I$4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Week2!$C$9:$I$9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DB-4393-B3A6-A7AA5FBCA3AE}"/>
            </c:ext>
          </c:extLst>
        </c:ser>
        <c:ser>
          <c:idx val="1"/>
          <c:order val="1"/>
          <c:tx>
            <c:strRef>
              <c:f>Week2!$A$15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Week2!$C$4:$I$4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Week2!$C$21:$I$21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0.11491826949602314</c:v>
                </c:pt>
                <c:pt idx="4">
                  <c:v>0</c:v>
                </c:pt>
                <c:pt idx="5">
                  <c:v>29.631617866929901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DB-4393-B3A6-A7AA5FBCA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54982781998789"/>
          <c:y val="4.4230159643732073E-2"/>
          <c:w val="0.69437636805387648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Week3!$A$3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Week3!$C$4:$I$4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Week3!$C$9:$I$9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0.10000000149011613</c:v>
                </c:pt>
                <c:pt idx="3">
                  <c:v>0.33180556674672773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A-4156-8840-96AF9C2EFFA3}"/>
            </c:ext>
          </c:extLst>
        </c:ser>
        <c:ser>
          <c:idx val="1"/>
          <c:order val="1"/>
          <c:tx>
            <c:strRef>
              <c:f>Week3!$A$15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Week3!$C$4:$I$4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Week3!$C$21:$I$21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0.10860291757896239</c:v>
                </c:pt>
                <c:pt idx="3">
                  <c:v>0.29259890983364878</c:v>
                </c:pt>
                <c:pt idx="4">
                  <c:v>0</c:v>
                </c:pt>
                <c:pt idx="5">
                  <c:v>37.6395232068637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6A-4156-8840-96AF9C2EF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Entrainment </a:t>
                </a:r>
                <a:r>
                  <a:rPr lang="en-US" sz="1800" b="1" baseline="0"/>
                  <a:t>by Region (%)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91402426048092"/>
          <c:y val="0.63401076527952738"/>
          <c:w val="0.29357656628799261"/>
          <c:h val="0.15477174728307447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66483063277682"/>
          <c:y val="4.4230159643732073E-2"/>
          <c:w val="0.78126139278604767"/>
          <c:h val="0.777823925577253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Week1!$A$3</c:f>
              <c:strCache>
                <c:ptCount val="1"/>
                <c:pt idx="0">
                  <c:v>Design-based Method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Week1!$C$5:$I$5</c:f>
              <c:numCache>
                <c:formatCode>#,##0</c:formatCode>
                <c:ptCount val="7"/>
                <c:pt idx="0">
                  <c:v>92127619</c:v>
                </c:pt>
                <c:pt idx="1">
                  <c:v>110331533</c:v>
                </c:pt>
                <c:pt idx="2">
                  <c:v>914595</c:v>
                </c:pt>
                <c:pt idx="3">
                  <c:v>4403423</c:v>
                </c:pt>
                <c:pt idx="4">
                  <c:v>14782703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6B-4A23-ABB5-28DADAFCEABC}"/>
            </c:ext>
          </c:extLst>
        </c:ser>
        <c:ser>
          <c:idx val="1"/>
          <c:order val="1"/>
          <c:tx>
            <c:strRef>
              <c:f>Week1!$A$15</c:f>
              <c:strCache>
                <c:ptCount val="1"/>
                <c:pt idx="0">
                  <c:v>Kimmerer Method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Week1!$C$4:$I$4</c:f>
              <c:strCache>
                <c:ptCount val="7"/>
                <c:pt idx="0">
                  <c:v>West </c:v>
                </c:pt>
                <c:pt idx="1">
                  <c:v>Suisun</c:v>
                </c:pt>
                <c:pt idx="2">
                  <c:v>Sacramento/
North Delta</c:v>
                </c:pt>
                <c:pt idx="3">
                  <c:v>Lower San Joaquin</c:v>
                </c:pt>
                <c:pt idx="4">
                  <c:v>Lower Sacramento</c:v>
                </c:pt>
                <c:pt idx="5">
                  <c:v>South Delta</c:v>
                </c:pt>
                <c:pt idx="6">
                  <c:v>East</c:v>
                </c:pt>
              </c:strCache>
            </c:strRef>
          </c:cat>
          <c:val>
            <c:numRef>
              <c:f>Week1!$C$17:$I$17</c:f>
              <c:numCache>
                <c:formatCode>#,##0</c:formatCode>
                <c:ptCount val="7"/>
                <c:pt idx="0">
                  <c:v>201259582.30036199</c:v>
                </c:pt>
                <c:pt idx="1">
                  <c:v>125682276.53058419</c:v>
                </c:pt>
                <c:pt idx="2">
                  <c:v>630445.97086776991</c:v>
                </c:pt>
                <c:pt idx="3">
                  <c:v>7972275.6574883545</c:v>
                </c:pt>
                <c:pt idx="4">
                  <c:v>24443347.242371023</c:v>
                </c:pt>
                <c:pt idx="5">
                  <c:v>385731.46276917664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6B-4A23-ABB5-28DADAFCE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1993199"/>
        <c:axId val="1891993679"/>
      </c:barChart>
      <c:catAx>
        <c:axId val="18919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679"/>
        <c:crosses val="autoZero"/>
        <c:auto val="1"/>
        <c:lblAlgn val="ctr"/>
        <c:lblOffset val="100"/>
        <c:noMultiLvlLbl val="0"/>
      </c:catAx>
      <c:valAx>
        <c:axId val="1891993679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LFS Mean</a:t>
                </a:r>
                <a:r>
                  <a:rPr lang="en-US" sz="1800" b="1" baseline="0"/>
                  <a:t> Abundance by Region</a:t>
                </a:r>
                <a:endParaRPr lang="en-US" sz="1800" b="1"/>
              </a:p>
            </c:rich>
          </c:tx>
          <c:layout>
            <c:manualLayout>
              <c:xMode val="edge"/>
              <c:yMode val="edge"/>
              <c:x val="0.31176114154541013"/>
              <c:y val="0.90030796310526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99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211222245867913"/>
          <c:y val="6.6322338404060446E-2"/>
          <c:w val="0.29357656628799261"/>
          <c:h val="8.3252012960099597E-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34290</xdr:rowOff>
    </xdr:from>
    <xdr:to>
      <xdr:col>7</xdr:col>
      <xdr:colOff>510540</xdr:colOff>
      <xdr:row>17</xdr:row>
      <xdr:rowOff>120015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7B4094-F644-4326-89F4-4ECA695AE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21772</xdr:rowOff>
    </xdr:from>
    <xdr:to>
      <xdr:col>7</xdr:col>
      <xdr:colOff>510540</xdr:colOff>
      <xdr:row>33</xdr:row>
      <xdr:rowOff>107497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774D41-FF9A-4F15-889F-A96C69BFD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5443</xdr:rowOff>
    </xdr:from>
    <xdr:to>
      <xdr:col>7</xdr:col>
      <xdr:colOff>510540</xdr:colOff>
      <xdr:row>49</xdr:row>
      <xdr:rowOff>91168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060F00-75EE-4DE3-807A-3F9D86055D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48984</xdr:colOff>
      <xdr:row>50</xdr:row>
      <xdr:rowOff>16328</xdr:rowOff>
    </xdr:from>
    <xdr:to>
      <xdr:col>18</xdr:col>
      <xdr:colOff>620484</xdr:colOff>
      <xdr:row>81</xdr:row>
      <xdr:rowOff>65314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A39F65-2DEE-430A-88AB-5A32ECE0E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5443</xdr:colOff>
      <xdr:row>2</xdr:row>
      <xdr:rowOff>38101</xdr:rowOff>
    </xdr:from>
    <xdr:to>
      <xdr:col>18</xdr:col>
      <xdr:colOff>631371</xdr:colOff>
      <xdr:row>17</xdr:row>
      <xdr:rowOff>103415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645498-E6F9-43D7-A36C-6A7453698E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10886</xdr:colOff>
      <xdr:row>18</xdr:row>
      <xdr:rowOff>27214</xdr:rowOff>
    </xdr:from>
    <xdr:to>
      <xdr:col>18</xdr:col>
      <xdr:colOff>636814</xdr:colOff>
      <xdr:row>33</xdr:row>
      <xdr:rowOff>92527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A9E5C2-5F30-45C1-B21E-38287F05B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16328</xdr:colOff>
      <xdr:row>34</xdr:row>
      <xdr:rowOff>32657</xdr:rowOff>
    </xdr:from>
    <xdr:to>
      <xdr:col>19</xdr:col>
      <xdr:colOff>-1</xdr:colOff>
      <xdr:row>49</xdr:row>
      <xdr:rowOff>97971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02EB65A-6236-4841-93C5-EA75A1D106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5443</xdr:colOff>
      <xdr:row>2</xdr:row>
      <xdr:rowOff>38101</xdr:rowOff>
    </xdr:from>
    <xdr:to>
      <xdr:col>29</xdr:col>
      <xdr:colOff>631371</xdr:colOff>
      <xdr:row>17</xdr:row>
      <xdr:rowOff>103415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40EEC70-76A0-4277-B007-8C695687A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10886</xdr:colOff>
      <xdr:row>18</xdr:row>
      <xdr:rowOff>27214</xdr:rowOff>
    </xdr:from>
    <xdr:to>
      <xdr:col>29</xdr:col>
      <xdr:colOff>636814</xdr:colOff>
      <xdr:row>33</xdr:row>
      <xdr:rowOff>92527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52F178E-CB4C-4FC9-ACB9-927D03A7E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16328</xdr:colOff>
      <xdr:row>34</xdr:row>
      <xdr:rowOff>32657</xdr:rowOff>
    </xdr:from>
    <xdr:to>
      <xdr:col>30</xdr:col>
      <xdr:colOff>-1</xdr:colOff>
      <xdr:row>49</xdr:row>
      <xdr:rowOff>97971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2534665-324D-4F82-B981-D8F7E5ECD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5443</xdr:colOff>
      <xdr:row>2</xdr:row>
      <xdr:rowOff>38101</xdr:rowOff>
    </xdr:from>
    <xdr:to>
      <xdr:col>40</xdr:col>
      <xdr:colOff>631371</xdr:colOff>
      <xdr:row>17</xdr:row>
      <xdr:rowOff>103415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2E60AA4-1561-49F0-BE90-87BC48E00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30</xdr:col>
      <xdr:colOff>10886</xdr:colOff>
      <xdr:row>18</xdr:row>
      <xdr:rowOff>27214</xdr:rowOff>
    </xdr:from>
    <xdr:to>
      <xdr:col>40</xdr:col>
      <xdr:colOff>636814</xdr:colOff>
      <xdr:row>33</xdr:row>
      <xdr:rowOff>92527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10C7E15-BDAB-44D6-B467-B853800BB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30</xdr:col>
      <xdr:colOff>16328</xdr:colOff>
      <xdr:row>34</xdr:row>
      <xdr:rowOff>32657</xdr:rowOff>
    </xdr:from>
    <xdr:to>
      <xdr:col>41</xdr:col>
      <xdr:colOff>-1</xdr:colOff>
      <xdr:row>49</xdr:row>
      <xdr:rowOff>97971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1F490F6-2640-4258-B38D-800F7C74D7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41</xdr:col>
      <xdr:colOff>5443</xdr:colOff>
      <xdr:row>2</xdr:row>
      <xdr:rowOff>38101</xdr:rowOff>
    </xdr:from>
    <xdr:to>
      <xdr:col>51</xdr:col>
      <xdr:colOff>631371</xdr:colOff>
      <xdr:row>17</xdr:row>
      <xdr:rowOff>103415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8DBC2D0-9664-4485-B4BF-081BF6DDD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41</xdr:col>
      <xdr:colOff>10886</xdr:colOff>
      <xdr:row>18</xdr:row>
      <xdr:rowOff>27214</xdr:rowOff>
    </xdr:from>
    <xdr:to>
      <xdr:col>51</xdr:col>
      <xdr:colOff>636814</xdr:colOff>
      <xdr:row>33</xdr:row>
      <xdr:rowOff>92527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67FB7DF-1288-4542-AE19-010AE69D0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41</xdr:col>
      <xdr:colOff>16328</xdr:colOff>
      <xdr:row>34</xdr:row>
      <xdr:rowOff>32657</xdr:rowOff>
    </xdr:from>
    <xdr:to>
      <xdr:col>52</xdr:col>
      <xdr:colOff>-1</xdr:colOff>
      <xdr:row>49</xdr:row>
      <xdr:rowOff>97971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5E6BD4C-BDEE-4937-B098-426180DB1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21772</xdr:colOff>
      <xdr:row>81</xdr:row>
      <xdr:rowOff>152399</xdr:rowOff>
    </xdr:from>
    <xdr:to>
      <xdr:col>18</xdr:col>
      <xdr:colOff>593272</xdr:colOff>
      <xdr:row>113</xdr:row>
      <xdr:rowOff>16329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569D104-F1FD-4613-A5A0-AD324D7904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0.3197</cdr:x>
      <cdr:y>0.02559</cdr:y>
    </cdr:from>
    <cdr:to>
      <cdr:x>0.68401</cdr:x>
      <cdr:y>0.12391</cdr:y>
    </cdr:to>
    <cdr:sp macro="" textlink="Week1!$A$2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651181E-5213-314F-E0A6-4890B995F54D}"/>
            </a:ext>
          </a:extLst>
        </cdr:cNvPr>
        <cdr:cNvSpPr txBox="1"/>
      </cdr:nvSpPr>
      <cdr:spPr>
        <a:xfrm xmlns:a="http://schemas.openxmlformats.org/drawingml/2006/main">
          <a:off x="1965960" y="72390"/>
          <a:ext cx="2240280" cy="278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fld id="{130F7BB3-3FC8-4D83-BDD4-924B7716E5B2}" type="TxLink">
            <a:rPr lang="en-US" sz="1400" b="1" i="0" u="none" strike="noStrike" kern="1200">
              <a:solidFill>
                <a:srgbClr val="000000"/>
              </a:solidFill>
              <a:latin typeface="Aptos Narrow"/>
            </a:rPr>
            <a:pPr algn="ctr"/>
            <a:t>RESULTS SHOWN FOR Week 1</a:t>
          </a:fld>
          <a:endParaRPr lang="en-US" sz="1800" b="1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0.3197</cdr:x>
      <cdr:y>0.02559</cdr:y>
    </cdr:from>
    <cdr:to>
      <cdr:x>0.68401</cdr:x>
      <cdr:y>0.12391</cdr:y>
    </cdr:to>
    <cdr:sp macro="" textlink="Week2!$A$2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651181E-5213-314F-E0A6-4890B995F54D}"/>
            </a:ext>
          </a:extLst>
        </cdr:cNvPr>
        <cdr:cNvSpPr txBox="1"/>
      </cdr:nvSpPr>
      <cdr:spPr>
        <a:xfrm xmlns:a="http://schemas.openxmlformats.org/drawingml/2006/main">
          <a:off x="1965960" y="72390"/>
          <a:ext cx="2240280" cy="278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fld id="{B3649131-BA26-4106-8E2B-77F3F7150C25}" type="TxLink">
            <a:rPr lang="en-US" sz="1400" b="1" i="0" u="none" strike="noStrike" kern="1200">
              <a:solidFill>
                <a:srgbClr val="000000"/>
              </a:solidFill>
              <a:latin typeface="Aptos Narrow"/>
            </a:rPr>
            <a:pPr algn="ctr"/>
            <a:t>RESULTS SHOWN FOR Week 2</a:t>
          </a:fld>
          <a:endParaRPr lang="en-US" sz="1800" b="1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0.3197</cdr:x>
      <cdr:y>0.02559</cdr:y>
    </cdr:from>
    <cdr:to>
      <cdr:x>0.68401</cdr:x>
      <cdr:y>0.12391</cdr:y>
    </cdr:to>
    <cdr:sp macro="" textlink="Week3!$A$2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651181E-5213-314F-E0A6-4890B995F54D}"/>
            </a:ext>
          </a:extLst>
        </cdr:cNvPr>
        <cdr:cNvSpPr txBox="1"/>
      </cdr:nvSpPr>
      <cdr:spPr>
        <a:xfrm xmlns:a="http://schemas.openxmlformats.org/drawingml/2006/main">
          <a:off x="1965960" y="72390"/>
          <a:ext cx="2240280" cy="278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fld id="{7ABB4867-E62F-40D3-8797-2136D3760C12}" type="TxLink">
            <a:rPr lang="en-US" sz="1400" b="1" i="0" u="none" strike="noStrike" kern="1200">
              <a:solidFill>
                <a:srgbClr val="000000"/>
              </a:solidFill>
              <a:latin typeface="Aptos Narrow"/>
            </a:rPr>
            <a:pPr algn="ctr"/>
            <a:t>RESULTS SHOWN FOR Week 3</a:t>
          </a:fld>
          <a:endParaRPr lang="en-US" sz="1400" b="1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7FDD-3627-4F03-9517-D3CDABD35961}">
  <dimension ref="A1:AZ2"/>
  <sheetViews>
    <sheetView tabSelected="1" zoomScale="70" zoomScaleNormal="70" workbookViewId="0">
      <selection activeCell="AT2" sqref="AT2"/>
    </sheetView>
  </sheetViews>
  <sheetFormatPr defaultRowHeight="14.4" x14ac:dyDescent="0.55000000000000004"/>
  <sheetData>
    <row r="1" spans="1:52" x14ac:dyDescent="0.55000000000000004">
      <c r="A1" s="11" t="s">
        <v>18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</row>
    <row r="2" spans="1:52" x14ac:dyDescent="0.55000000000000004">
      <c r="M2" s="10" t="s">
        <v>22</v>
      </c>
      <c r="X2" s="10" t="s">
        <v>23</v>
      </c>
      <c r="AI2" s="10" t="s">
        <v>24</v>
      </c>
      <c r="AT2" s="10" t="s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01C2A-206D-4B5E-8B38-967946375E9C}">
  <dimension ref="A1:L25"/>
  <sheetViews>
    <sheetView workbookViewId="0">
      <selection activeCell="O13" sqref="O13"/>
    </sheetView>
  </sheetViews>
  <sheetFormatPr defaultRowHeight="14.4" x14ac:dyDescent="0.55000000000000004"/>
  <cols>
    <col min="1" max="1" width="11.41796875" customWidth="1"/>
    <col min="2" max="2" width="22.68359375" customWidth="1"/>
    <col min="3" max="3" width="10.1015625" customWidth="1"/>
    <col min="4" max="4" width="10.15625" customWidth="1"/>
    <col min="5" max="5" width="15.5234375" customWidth="1"/>
    <col min="6" max="6" width="11.68359375" customWidth="1"/>
    <col min="7" max="7" width="9.9453125" customWidth="1"/>
    <col min="9" max="9" width="12.89453125" customWidth="1"/>
    <col min="10" max="10" width="13.9453125" customWidth="1"/>
    <col min="11" max="11" width="13.1015625" customWidth="1"/>
  </cols>
  <sheetData>
    <row r="1" spans="1:12" x14ac:dyDescent="0.55000000000000004">
      <c r="A1" s="11" t="s">
        <v>26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2" x14ac:dyDescent="0.55000000000000004">
      <c r="A2" s="12" t="s">
        <v>17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2" x14ac:dyDescent="0.55000000000000004">
      <c r="A3" s="10" t="s">
        <v>16</v>
      </c>
    </row>
    <row r="4" spans="1:12" ht="34.200000000000003" x14ac:dyDescent="0.55000000000000004">
      <c r="A4" s="2" t="s">
        <v>0</v>
      </c>
      <c r="B4" s="1" t="s">
        <v>1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2</v>
      </c>
      <c r="K4" s="2" t="s">
        <v>8</v>
      </c>
    </row>
    <row r="5" spans="1:12" x14ac:dyDescent="0.55000000000000004">
      <c r="A5" s="3"/>
      <c r="B5" s="4" t="s">
        <v>3</v>
      </c>
      <c r="C5" s="5">
        <v>92127619</v>
      </c>
      <c r="D5" s="5">
        <v>110331533</v>
      </c>
      <c r="E5" s="5">
        <v>914595</v>
      </c>
      <c r="F5" s="5">
        <v>4403423</v>
      </c>
      <c r="G5" s="5">
        <v>14782703</v>
      </c>
      <c r="H5" s="5">
        <v>0</v>
      </c>
      <c r="I5" s="5">
        <v>0</v>
      </c>
      <c r="J5" s="5">
        <v>222559873</v>
      </c>
      <c r="K5" s="5">
        <v>0</v>
      </c>
    </row>
    <row r="6" spans="1:12" x14ac:dyDescent="0.55000000000000004">
      <c r="A6" s="6">
        <v>-6500</v>
      </c>
      <c r="B6" s="4" t="s">
        <v>4</v>
      </c>
      <c r="C6" s="7">
        <v>0</v>
      </c>
      <c r="D6" s="7">
        <v>0</v>
      </c>
      <c r="E6" s="7">
        <v>0</v>
      </c>
      <c r="F6" s="7">
        <v>0.23421569759581362</v>
      </c>
      <c r="G6" s="7" t="s">
        <v>6</v>
      </c>
      <c r="H6" s="7">
        <v>0</v>
      </c>
      <c r="I6" s="7">
        <v>0</v>
      </c>
      <c r="J6" s="3"/>
      <c r="K6" s="3"/>
    </row>
    <row r="7" spans="1:12" x14ac:dyDescent="0.55000000000000004">
      <c r="A7" s="6">
        <v>-5000</v>
      </c>
      <c r="B7" s="4" t="s">
        <v>4</v>
      </c>
      <c r="C7" s="7">
        <v>0</v>
      </c>
      <c r="D7" s="7">
        <v>0</v>
      </c>
      <c r="E7" s="7">
        <v>0</v>
      </c>
      <c r="F7" s="7" t="s">
        <v>6</v>
      </c>
      <c r="G7" s="7">
        <v>0</v>
      </c>
      <c r="H7" s="7">
        <v>0</v>
      </c>
      <c r="I7" s="7">
        <v>0</v>
      </c>
      <c r="J7" s="3"/>
      <c r="K7" s="3"/>
    </row>
    <row r="8" spans="1:12" x14ac:dyDescent="0.55000000000000004">
      <c r="A8" s="6">
        <v>-3500</v>
      </c>
      <c r="B8" s="4" t="s">
        <v>4</v>
      </c>
      <c r="C8" s="7">
        <v>0</v>
      </c>
      <c r="D8" s="7">
        <v>0</v>
      </c>
      <c r="E8" s="7">
        <v>0</v>
      </c>
      <c r="F8" s="7" t="s">
        <v>6</v>
      </c>
      <c r="G8" s="7">
        <v>0</v>
      </c>
      <c r="H8" s="7">
        <v>0</v>
      </c>
      <c r="I8" s="7">
        <v>0</v>
      </c>
      <c r="J8" s="3"/>
      <c r="K8" s="3"/>
    </row>
    <row r="9" spans="1:12" x14ac:dyDescent="0.55000000000000004">
      <c r="A9" s="6">
        <v>-2000</v>
      </c>
      <c r="B9" s="4" t="s">
        <v>4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3"/>
      <c r="K9" s="3"/>
    </row>
    <row r="10" spans="1:12" x14ac:dyDescent="0.55000000000000004">
      <c r="A10" s="6">
        <v>-6500</v>
      </c>
      <c r="B10" s="4" t="s">
        <v>5</v>
      </c>
      <c r="C10" s="8">
        <v>0</v>
      </c>
      <c r="D10" s="8">
        <v>0</v>
      </c>
      <c r="E10" s="8">
        <v>0</v>
      </c>
      <c r="F10" s="8">
        <v>10313.507897544503</v>
      </c>
      <c r="G10" s="8">
        <v>1615.1350240673871</v>
      </c>
      <c r="H10" s="8">
        <v>0</v>
      </c>
      <c r="I10" s="8">
        <v>0</v>
      </c>
      <c r="J10" s="8">
        <v>11928.64292161189</v>
      </c>
      <c r="K10" s="9" t="s">
        <v>7</v>
      </c>
      <c r="L10" s="13">
        <v>5.0000000000000001E-4</v>
      </c>
    </row>
    <row r="11" spans="1:12" x14ac:dyDescent="0.55000000000000004">
      <c r="A11" s="6">
        <v>-5000</v>
      </c>
      <c r="B11" s="4" t="s">
        <v>5</v>
      </c>
      <c r="C11" s="8">
        <v>0</v>
      </c>
      <c r="D11" s="8">
        <v>0</v>
      </c>
      <c r="E11" s="8">
        <v>0</v>
      </c>
      <c r="F11" s="8">
        <v>1718.9180256138743</v>
      </c>
      <c r="G11" s="8">
        <v>0</v>
      </c>
      <c r="H11" s="8">
        <v>0</v>
      </c>
      <c r="I11" s="8">
        <v>0</v>
      </c>
      <c r="J11" s="8">
        <v>1718.9180256138743</v>
      </c>
      <c r="K11" s="9" t="s">
        <v>7</v>
      </c>
      <c r="L11" s="13">
        <v>5.0000000000000001E-4</v>
      </c>
    </row>
    <row r="12" spans="1:12" x14ac:dyDescent="0.55000000000000004">
      <c r="A12" s="6">
        <v>-3500</v>
      </c>
      <c r="B12" s="4" t="s">
        <v>5</v>
      </c>
      <c r="C12" s="8">
        <v>0</v>
      </c>
      <c r="D12" s="8">
        <v>0</v>
      </c>
      <c r="E12" s="8">
        <v>0</v>
      </c>
      <c r="F12" s="8">
        <v>859.45901280693715</v>
      </c>
      <c r="G12" s="8">
        <v>0</v>
      </c>
      <c r="H12" s="8">
        <v>0</v>
      </c>
      <c r="I12" s="8">
        <v>0</v>
      </c>
      <c r="J12" s="8">
        <v>859.45901280693715</v>
      </c>
      <c r="K12" s="9" t="s">
        <v>7</v>
      </c>
      <c r="L12" s="13">
        <v>5.0000000000000001E-4</v>
      </c>
    </row>
    <row r="13" spans="1:12" x14ac:dyDescent="0.55000000000000004">
      <c r="A13" s="6">
        <v>-2000</v>
      </c>
      <c r="B13" s="4" t="s">
        <v>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9">
        <v>0</v>
      </c>
      <c r="L13" s="13">
        <v>0</v>
      </c>
    </row>
    <row r="14" spans="1:12" x14ac:dyDescent="0.55000000000000004">
      <c r="L14" s="14"/>
    </row>
    <row r="15" spans="1:12" x14ac:dyDescent="0.55000000000000004">
      <c r="A15" s="10" t="s">
        <v>19</v>
      </c>
      <c r="L15" s="14"/>
    </row>
    <row r="16" spans="1:12" ht="34.200000000000003" x14ac:dyDescent="0.55000000000000004">
      <c r="A16" s="2" t="s">
        <v>0</v>
      </c>
      <c r="B16" s="1" t="s">
        <v>1</v>
      </c>
      <c r="C16" s="2" t="s">
        <v>9</v>
      </c>
      <c r="D16" s="2" t="s">
        <v>10</v>
      </c>
      <c r="E16" s="2" t="s">
        <v>11</v>
      </c>
      <c r="F16" s="2" t="s">
        <v>12</v>
      </c>
      <c r="G16" s="2" t="s">
        <v>13</v>
      </c>
      <c r="H16" s="2" t="s">
        <v>14</v>
      </c>
      <c r="I16" s="2" t="s">
        <v>15</v>
      </c>
      <c r="J16" s="2" t="s">
        <v>2</v>
      </c>
      <c r="K16" s="2" t="s">
        <v>8</v>
      </c>
      <c r="L16" s="14"/>
    </row>
    <row r="17" spans="1:12" x14ac:dyDescent="0.55000000000000004">
      <c r="A17" s="3"/>
      <c r="B17" s="4" t="s">
        <v>3</v>
      </c>
      <c r="C17" s="5">
        <v>201259582.30036199</v>
      </c>
      <c r="D17" s="5">
        <v>125682276.53058419</v>
      </c>
      <c r="E17" s="5">
        <v>630445.97086776991</v>
      </c>
      <c r="F17" s="5">
        <v>7972275.6574883545</v>
      </c>
      <c r="G17" s="5">
        <v>24443347.242371023</v>
      </c>
      <c r="H17" s="5">
        <v>385731.46276917664</v>
      </c>
      <c r="I17" s="5">
        <v>0</v>
      </c>
      <c r="J17" s="5">
        <v>360373659.16444248</v>
      </c>
      <c r="K17" s="5">
        <v>0</v>
      </c>
      <c r="L17" s="14"/>
    </row>
    <row r="18" spans="1:12" x14ac:dyDescent="0.55000000000000004">
      <c r="A18" s="6">
        <v>-6500</v>
      </c>
      <c r="B18" s="4" t="s">
        <v>4</v>
      </c>
      <c r="C18" s="7">
        <v>0</v>
      </c>
      <c r="D18" s="7">
        <v>0</v>
      </c>
      <c r="E18" s="7" t="s">
        <v>6</v>
      </c>
      <c r="F18" s="7">
        <v>0.23673807027995158</v>
      </c>
      <c r="G18" s="7" t="s">
        <v>6</v>
      </c>
      <c r="H18" s="7">
        <v>41.415492049728151</v>
      </c>
      <c r="I18" s="7">
        <v>0</v>
      </c>
      <c r="J18" s="3"/>
      <c r="K18" s="3"/>
      <c r="L18" s="14"/>
    </row>
    <row r="19" spans="1:12" x14ac:dyDescent="0.55000000000000004">
      <c r="A19" s="6">
        <v>-5000</v>
      </c>
      <c r="B19" s="4" t="s">
        <v>4</v>
      </c>
      <c r="C19" s="7">
        <v>0</v>
      </c>
      <c r="D19" s="7">
        <v>0</v>
      </c>
      <c r="E19" s="7">
        <v>0</v>
      </c>
      <c r="F19" s="7" t="s">
        <v>6</v>
      </c>
      <c r="G19" s="7">
        <v>0</v>
      </c>
      <c r="H19" s="7">
        <v>33.533366983436984</v>
      </c>
      <c r="I19" s="7">
        <v>0</v>
      </c>
      <c r="J19" s="3"/>
      <c r="K19" s="3"/>
      <c r="L19" s="14"/>
    </row>
    <row r="20" spans="1:12" x14ac:dyDescent="0.55000000000000004">
      <c r="A20" s="6">
        <v>-3500</v>
      </c>
      <c r="B20" s="4" t="s">
        <v>4</v>
      </c>
      <c r="C20" s="7">
        <v>0</v>
      </c>
      <c r="D20" s="7">
        <v>0</v>
      </c>
      <c r="E20" s="7">
        <v>0</v>
      </c>
      <c r="F20" s="7" t="s">
        <v>6</v>
      </c>
      <c r="G20" s="7">
        <v>0</v>
      </c>
      <c r="H20" s="7">
        <v>24.749758086622478</v>
      </c>
      <c r="I20" s="7">
        <v>0</v>
      </c>
      <c r="J20" s="3"/>
      <c r="K20" s="3"/>
      <c r="L20" s="14"/>
    </row>
    <row r="21" spans="1:12" x14ac:dyDescent="0.55000000000000004">
      <c r="A21" s="6">
        <v>-2000</v>
      </c>
      <c r="B21" s="4" t="s">
        <v>4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8.5557665121205417</v>
      </c>
      <c r="I21" s="7">
        <v>0</v>
      </c>
      <c r="J21" s="3"/>
      <c r="K21" s="3"/>
      <c r="L21" s="14"/>
    </row>
    <row r="22" spans="1:12" x14ac:dyDescent="0.55000000000000004">
      <c r="A22" s="6">
        <v>-6500</v>
      </c>
      <c r="B22" s="4" t="s">
        <v>5</v>
      </c>
      <c r="C22" s="8">
        <v>0</v>
      </c>
      <c r="D22" s="8">
        <v>0</v>
      </c>
      <c r="E22" s="8">
        <v>494.24574941923345</v>
      </c>
      <c r="F22" s="8">
        <v>18873.411548936252</v>
      </c>
      <c r="G22" s="8">
        <v>561.5617170272086</v>
      </c>
      <c r="H22" s="8">
        <v>159752.58329646845</v>
      </c>
      <c r="I22" s="8">
        <v>0</v>
      </c>
      <c r="J22" s="8">
        <v>179681.80231185115</v>
      </c>
      <c r="K22" s="9" t="s">
        <v>7</v>
      </c>
      <c r="L22" s="13">
        <v>5.0000000000000001E-4</v>
      </c>
    </row>
    <row r="23" spans="1:12" x14ac:dyDescent="0.55000000000000004">
      <c r="A23" s="6">
        <v>-5000</v>
      </c>
      <c r="B23" s="4" t="s">
        <v>5</v>
      </c>
      <c r="C23" s="8">
        <v>0</v>
      </c>
      <c r="D23" s="8">
        <v>0</v>
      </c>
      <c r="E23" s="8">
        <v>0</v>
      </c>
      <c r="F23" s="8">
        <v>5560.6497869840559</v>
      </c>
      <c r="G23" s="8">
        <v>0</v>
      </c>
      <c r="H23" s="8">
        <v>129348.7469809676</v>
      </c>
      <c r="I23" s="8">
        <v>0</v>
      </c>
      <c r="J23" s="8">
        <v>134909.39676795166</v>
      </c>
      <c r="K23" s="9" t="s">
        <v>7</v>
      </c>
      <c r="L23" s="13">
        <v>5.0000000000000001E-4</v>
      </c>
    </row>
    <row r="24" spans="1:12" x14ac:dyDescent="0.55000000000000004">
      <c r="A24" s="6">
        <v>-3500</v>
      </c>
      <c r="B24" s="4" t="s">
        <v>5</v>
      </c>
      <c r="C24" s="8">
        <v>0</v>
      </c>
      <c r="D24" s="8">
        <v>0</v>
      </c>
      <c r="E24" s="8">
        <v>0</v>
      </c>
      <c r="F24" s="8">
        <v>1019.8707554335745</v>
      </c>
      <c r="G24" s="8">
        <v>0</v>
      </c>
      <c r="H24" s="8">
        <v>95467.603899361464</v>
      </c>
      <c r="I24" s="8">
        <v>0</v>
      </c>
      <c r="J24" s="8">
        <v>96487.474654795034</v>
      </c>
      <c r="K24" s="9" t="s">
        <v>7</v>
      </c>
      <c r="L24" s="13">
        <v>5.0000000000000001E-4</v>
      </c>
    </row>
    <row r="25" spans="1:12" x14ac:dyDescent="0.55000000000000004">
      <c r="A25" s="6">
        <v>-2000</v>
      </c>
      <c r="B25" s="4" t="s">
        <v>5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33002.283318317932</v>
      </c>
      <c r="I25" s="8">
        <v>0</v>
      </c>
      <c r="J25" s="8">
        <v>33002.283318317932</v>
      </c>
      <c r="K25" s="9" t="s">
        <v>7</v>
      </c>
      <c r="L25" s="13">
        <v>5.0000000000000001E-4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B941-CFB9-476B-A918-1E24B4BA89C4}">
  <dimension ref="A1:L25"/>
  <sheetViews>
    <sheetView workbookViewId="0">
      <selection activeCell="N14" sqref="N14"/>
    </sheetView>
  </sheetViews>
  <sheetFormatPr defaultRowHeight="14.4" x14ac:dyDescent="0.55000000000000004"/>
  <cols>
    <col min="1" max="1" width="11.41796875" customWidth="1"/>
    <col min="2" max="2" width="22.68359375" customWidth="1"/>
    <col min="3" max="3" width="11.83984375" customWidth="1"/>
    <col min="4" max="4" width="10.3125" customWidth="1"/>
    <col min="5" max="5" width="15.5234375" customWidth="1"/>
    <col min="6" max="6" width="11.68359375" customWidth="1"/>
    <col min="7" max="7" width="9.9453125" customWidth="1"/>
    <col min="9" max="9" width="12.89453125" customWidth="1"/>
    <col min="10" max="10" width="13.9453125" customWidth="1"/>
    <col min="11" max="11" width="13.1015625" customWidth="1"/>
  </cols>
  <sheetData>
    <row r="1" spans="1:12" x14ac:dyDescent="0.55000000000000004">
      <c r="A1" s="11" t="s">
        <v>26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2" x14ac:dyDescent="0.55000000000000004">
      <c r="A2" s="12" t="s">
        <v>21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2" x14ac:dyDescent="0.55000000000000004">
      <c r="A3" s="10" t="s">
        <v>16</v>
      </c>
    </row>
    <row r="4" spans="1:12" ht="34.200000000000003" x14ac:dyDescent="0.55000000000000004">
      <c r="A4" s="2" t="s">
        <v>0</v>
      </c>
      <c r="B4" s="1" t="s">
        <v>1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2</v>
      </c>
      <c r="K4" s="2" t="s">
        <v>8</v>
      </c>
    </row>
    <row r="5" spans="1:12" x14ac:dyDescent="0.55000000000000004">
      <c r="A5" s="3"/>
      <c r="B5" s="4" t="s">
        <v>3</v>
      </c>
      <c r="C5" s="5">
        <v>92127619</v>
      </c>
      <c r="D5" s="5">
        <v>110331533</v>
      </c>
      <c r="E5" s="5">
        <v>914595</v>
      </c>
      <c r="F5" s="5">
        <v>4403423</v>
      </c>
      <c r="G5" s="5">
        <v>14782703</v>
      </c>
      <c r="H5" s="5">
        <v>0</v>
      </c>
      <c r="I5" s="5">
        <v>0</v>
      </c>
      <c r="J5" s="5">
        <v>222559873</v>
      </c>
      <c r="K5" s="5">
        <v>0</v>
      </c>
    </row>
    <row r="6" spans="1:12" x14ac:dyDescent="0.55000000000000004">
      <c r="A6" s="6">
        <v>-6500</v>
      </c>
      <c r="B6" s="4" t="s">
        <v>4</v>
      </c>
      <c r="C6" s="7">
        <v>0</v>
      </c>
      <c r="D6" s="7">
        <v>0</v>
      </c>
      <c r="E6" s="7">
        <v>0.80000001192092907</v>
      </c>
      <c r="F6" s="7">
        <v>2.3811929119848823</v>
      </c>
      <c r="G6" s="7">
        <v>0.15462922160642911</v>
      </c>
      <c r="H6" s="7">
        <v>0</v>
      </c>
      <c r="I6" s="7">
        <v>0</v>
      </c>
      <c r="J6" s="3"/>
      <c r="K6" s="3"/>
    </row>
    <row r="7" spans="1:12" x14ac:dyDescent="0.55000000000000004">
      <c r="A7" s="6">
        <v>-5000</v>
      </c>
      <c r="B7" s="4" t="s">
        <v>4</v>
      </c>
      <c r="C7" s="7">
        <v>0</v>
      </c>
      <c r="D7" s="7">
        <v>0</v>
      </c>
      <c r="E7" s="7">
        <v>0.70000000298023224</v>
      </c>
      <c r="F7" s="7">
        <v>1.5224019936551196</v>
      </c>
      <c r="G7" s="7">
        <v>0.22185169037552643</v>
      </c>
      <c r="H7" s="7">
        <v>0</v>
      </c>
      <c r="I7" s="7">
        <v>0</v>
      </c>
      <c r="J7" s="3"/>
      <c r="K7" s="3"/>
    </row>
    <row r="8" spans="1:12" x14ac:dyDescent="0.55000000000000004">
      <c r="A8" s="6">
        <v>-3500</v>
      </c>
      <c r="B8" s="4" t="s">
        <v>4</v>
      </c>
      <c r="C8" s="7">
        <v>0</v>
      </c>
      <c r="D8" s="7">
        <v>0</v>
      </c>
      <c r="E8" s="7">
        <v>0.20000000298023227</v>
      </c>
      <c r="F8" s="7">
        <v>0.5293954650176047</v>
      </c>
      <c r="G8" s="7" t="s">
        <v>6</v>
      </c>
      <c r="H8" s="7">
        <v>0</v>
      </c>
      <c r="I8" s="7">
        <v>0</v>
      </c>
      <c r="J8" s="3"/>
      <c r="K8" s="3"/>
    </row>
    <row r="9" spans="1:12" x14ac:dyDescent="0.55000000000000004">
      <c r="A9" s="6">
        <v>-2000</v>
      </c>
      <c r="B9" s="4" t="s">
        <v>4</v>
      </c>
      <c r="C9" s="7">
        <v>0</v>
      </c>
      <c r="D9" s="7">
        <v>0</v>
      </c>
      <c r="E9" s="7">
        <v>0</v>
      </c>
      <c r="F9" s="7" t="s">
        <v>6</v>
      </c>
      <c r="G9" s="7">
        <v>0</v>
      </c>
      <c r="H9" s="7">
        <v>0</v>
      </c>
      <c r="I9" s="7">
        <v>0</v>
      </c>
      <c r="J9" s="3"/>
      <c r="K9" s="3"/>
    </row>
    <row r="10" spans="1:12" x14ac:dyDescent="0.55000000000000004">
      <c r="A10" s="6">
        <v>-6500</v>
      </c>
      <c r="B10" s="4" t="s">
        <v>5</v>
      </c>
      <c r="C10" s="8">
        <v>0</v>
      </c>
      <c r="D10" s="8">
        <v>0</v>
      </c>
      <c r="E10" s="8">
        <v>7316.7601090282205</v>
      </c>
      <c r="F10" s="8">
        <v>104853.99636071206</v>
      </c>
      <c r="G10" s="8">
        <v>22858.378581290246</v>
      </c>
      <c r="H10" s="8">
        <v>0</v>
      </c>
      <c r="I10" s="8">
        <v>0</v>
      </c>
      <c r="J10" s="8">
        <v>135029.13505103052</v>
      </c>
      <c r="K10" s="9" t="s">
        <v>7</v>
      </c>
      <c r="L10" s="13">
        <v>5.0000000000000001E-4</v>
      </c>
    </row>
    <row r="11" spans="1:12" x14ac:dyDescent="0.55000000000000004">
      <c r="A11" s="6">
        <v>-5000</v>
      </c>
      <c r="B11" s="4" t="s">
        <v>5</v>
      </c>
      <c r="C11" s="8">
        <v>0</v>
      </c>
      <c r="D11" s="8">
        <v>0</v>
      </c>
      <c r="E11" s="8">
        <v>6402.165027257055</v>
      </c>
      <c r="F11" s="8">
        <v>67037.799541068074</v>
      </c>
      <c r="G11" s="8">
        <v>32795.676488693658</v>
      </c>
      <c r="H11" s="8">
        <v>0</v>
      </c>
      <c r="I11" s="8">
        <v>0</v>
      </c>
      <c r="J11" s="8">
        <v>106235.64105701879</v>
      </c>
      <c r="K11" s="9" t="s">
        <v>7</v>
      </c>
      <c r="L11" s="13">
        <v>5.0000000000000001E-4</v>
      </c>
    </row>
    <row r="12" spans="1:12" x14ac:dyDescent="0.55000000000000004">
      <c r="A12" s="6">
        <v>-3500</v>
      </c>
      <c r="B12" s="4" t="s">
        <v>5</v>
      </c>
      <c r="C12" s="8">
        <v>0</v>
      </c>
      <c r="D12" s="8">
        <v>0</v>
      </c>
      <c r="E12" s="8">
        <v>1829.1900272570551</v>
      </c>
      <c r="F12" s="8">
        <v>23311.521667542162</v>
      </c>
      <c r="G12" s="8">
        <v>13167.568196212054</v>
      </c>
      <c r="H12" s="8">
        <v>0</v>
      </c>
      <c r="I12" s="8">
        <v>0</v>
      </c>
      <c r="J12" s="8">
        <v>38308.279891011276</v>
      </c>
      <c r="K12" s="9" t="s">
        <v>7</v>
      </c>
      <c r="L12" s="13">
        <v>5.0000000000000001E-4</v>
      </c>
    </row>
    <row r="13" spans="1:12" x14ac:dyDescent="0.55000000000000004">
      <c r="A13" s="6">
        <v>-2000</v>
      </c>
      <c r="B13" s="4" t="s">
        <v>5</v>
      </c>
      <c r="C13" s="8">
        <v>0</v>
      </c>
      <c r="D13" s="8">
        <v>0</v>
      </c>
      <c r="E13" s="8">
        <v>0</v>
      </c>
      <c r="F13" s="8">
        <v>3437.8361152624343</v>
      </c>
      <c r="G13" s="8">
        <v>0</v>
      </c>
      <c r="H13" s="8">
        <v>0</v>
      </c>
      <c r="I13" s="8">
        <v>0</v>
      </c>
      <c r="J13" s="8">
        <v>3437.8361152624343</v>
      </c>
      <c r="K13" s="9" t="s">
        <v>7</v>
      </c>
      <c r="L13" s="13">
        <v>5.0000000000000001E-4</v>
      </c>
    </row>
    <row r="14" spans="1:12" x14ac:dyDescent="0.55000000000000004">
      <c r="L14" s="14"/>
    </row>
    <row r="15" spans="1:12" x14ac:dyDescent="0.55000000000000004">
      <c r="A15" s="10" t="s">
        <v>19</v>
      </c>
      <c r="L15" s="14"/>
    </row>
    <row r="16" spans="1:12" ht="34.200000000000003" x14ac:dyDescent="0.55000000000000004">
      <c r="A16" s="2" t="s">
        <v>0</v>
      </c>
      <c r="B16" s="1" t="s">
        <v>1</v>
      </c>
      <c r="C16" s="2" t="s">
        <v>9</v>
      </c>
      <c r="D16" s="2" t="s">
        <v>10</v>
      </c>
      <c r="E16" s="2" t="s">
        <v>11</v>
      </c>
      <c r="F16" s="2" t="s">
        <v>12</v>
      </c>
      <c r="G16" s="2" t="s">
        <v>13</v>
      </c>
      <c r="H16" s="2" t="s">
        <v>14</v>
      </c>
      <c r="I16" s="2" t="s">
        <v>15</v>
      </c>
      <c r="J16" s="2" t="s">
        <v>2</v>
      </c>
      <c r="K16" s="2" t="s">
        <v>8</v>
      </c>
      <c r="L16" s="14"/>
    </row>
    <row r="17" spans="1:12" x14ac:dyDescent="0.55000000000000004">
      <c r="A17" s="3"/>
      <c r="B17" s="4" t="s">
        <v>3</v>
      </c>
      <c r="C17" s="5">
        <v>201259582.30036199</v>
      </c>
      <c r="D17" s="5">
        <v>125682276.53058419</v>
      </c>
      <c r="E17" s="5">
        <v>630445.97086776991</v>
      </c>
      <c r="F17" s="5">
        <v>7972275.6574883545</v>
      </c>
      <c r="G17" s="5">
        <v>24443347.242371023</v>
      </c>
      <c r="H17" s="5">
        <v>385731.46276917664</v>
      </c>
      <c r="I17" s="5">
        <v>0</v>
      </c>
      <c r="J17" s="5">
        <v>360373659.16444248</v>
      </c>
      <c r="K17" s="5">
        <v>0</v>
      </c>
      <c r="L17" s="14"/>
    </row>
    <row r="18" spans="1:12" x14ac:dyDescent="0.55000000000000004">
      <c r="A18" s="6">
        <v>-6500</v>
      </c>
      <c r="B18" s="4" t="s">
        <v>4</v>
      </c>
      <c r="C18" s="7">
        <v>0</v>
      </c>
      <c r="D18" s="7">
        <v>0</v>
      </c>
      <c r="E18" s="7">
        <v>0.79680904553594489</v>
      </c>
      <c r="F18" s="7">
        <v>1.9570665047227855</v>
      </c>
      <c r="G18" s="7" t="s">
        <v>6</v>
      </c>
      <c r="H18" s="7">
        <v>54.79311242145284</v>
      </c>
      <c r="I18" s="7">
        <v>0</v>
      </c>
      <c r="J18" s="3"/>
      <c r="K18" s="3"/>
      <c r="L18" s="14"/>
    </row>
    <row r="19" spans="1:12" x14ac:dyDescent="0.55000000000000004">
      <c r="A19" s="6">
        <v>-5000</v>
      </c>
      <c r="B19" s="4" t="s">
        <v>4</v>
      </c>
      <c r="C19" s="7">
        <v>0</v>
      </c>
      <c r="D19" s="7">
        <v>0</v>
      </c>
      <c r="E19" s="7">
        <v>0.36601837472828269</v>
      </c>
      <c r="F19" s="7">
        <v>1.0211805443666728</v>
      </c>
      <c r="G19" s="7" t="s">
        <v>6</v>
      </c>
      <c r="H19" s="7">
        <v>49.179769645008733</v>
      </c>
      <c r="I19" s="7">
        <v>0</v>
      </c>
      <c r="J19" s="3"/>
      <c r="K19" s="3"/>
      <c r="L19" s="14"/>
    </row>
    <row r="20" spans="1:12" x14ac:dyDescent="0.55000000000000004">
      <c r="A20" s="6">
        <v>-3500</v>
      </c>
      <c r="B20" s="4" t="s">
        <v>4</v>
      </c>
      <c r="C20" s="7">
        <v>0</v>
      </c>
      <c r="D20" s="7">
        <v>0</v>
      </c>
      <c r="E20" s="7">
        <v>0.17960321025852821</v>
      </c>
      <c r="F20" s="7">
        <v>0.40615438798866832</v>
      </c>
      <c r="G20" s="7" t="s">
        <v>6</v>
      </c>
      <c r="H20" s="7">
        <v>41.708967991510008</v>
      </c>
      <c r="I20" s="7">
        <v>0</v>
      </c>
      <c r="J20" s="3"/>
      <c r="K20" s="3"/>
      <c r="L20" s="14"/>
    </row>
    <row r="21" spans="1:12" x14ac:dyDescent="0.55000000000000004">
      <c r="A21" s="6">
        <v>-2000</v>
      </c>
      <c r="B21" s="4" t="s">
        <v>4</v>
      </c>
      <c r="C21" s="7">
        <v>0</v>
      </c>
      <c r="D21" s="7">
        <v>0</v>
      </c>
      <c r="E21" s="7" t="s">
        <v>6</v>
      </c>
      <c r="F21" s="7">
        <v>0.11491826949602314</v>
      </c>
      <c r="G21" s="7">
        <v>0</v>
      </c>
      <c r="H21" s="7">
        <v>29.631617866929901</v>
      </c>
      <c r="I21" s="7">
        <v>0</v>
      </c>
      <c r="J21" s="3"/>
      <c r="K21" s="3"/>
      <c r="L21" s="14"/>
    </row>
    <row r="22" spans="1:12" x14ac:dyDescent="0.55000000000000004">
      <c r="A22" s="6">
        <v>-6500</v>
      </c>
      <c r="B22" s="4" t="s">
        <v>5</v>
      </c>
      <c r="C22" s="8">
        <v>0</v>
      </c>
      <c r="D22" s="8">
        <v>0</v>
      </c>
      <c r="E22" s="8">
        <v>5023.4505230912982</v>
      </c>
      <c r="F22" s="8">
        <v>156022.73655687281</v>
      </c>
      <c r="G22" s="8">
        <v>9391.6199136416508</v>
      </c>
      <c r="H22" s="8">
        <v>211354.27404002944</v>
      </c>
      <c r="I22" s="8">
        <v>0</v>
      </c>
      <c r="J22" s="8">
        <v>381792.08103363519</v>
      </c>
      <c r="K22" s="9">
        <v>1.0594339273265786E-3</v>
      </c>
      <c r="L22" s="13">
        <f>K22</f>
        <v>1.0594339273265786E-3</v>
      </c>
    </row>
    <row r="23" spans="1:12" x14ac:dyDescent="0.55000000000000004">
      <c r="A23" s="6">
        <v>-5000</v>
      </c>
      <c r="B23" s="4" t="s">
        <v>5</v>
      </c>
      <c r="C23" s="8">
        <v>0</v>
      </c>
      <c r="D23" s="8">
        <v>0</v>
      </c>
      <c r="E23" s="8">
        <v>2307.5480961101539</v>
      </c>
      <c r="F23" s="8">
        <v>81411.327957551315</v>
      </c>
      <c r="G23" s="8">
        <v>3742.3809157780606</v>
      </c>
      <c r="H23" s="8">
        <v>189701.84483820372</v>
      </c>
      <c r="I23" s="8">
        <v>0</v>
      </c>
      <c r="J23" s="8">
        <v>277163.10180764325</v>
      </c>
      <c r="K23" s="9" t="s">
        <v>7</v>
      </c>
      <c r="L23" s="13">
        <v>5.0000000000000001E-4</v>
      </c>
    </row>
    <row r="24" spans="1:12" x14ac:dyDescent="0.55000000000000004">
      <c r="A24" s="6">
        <v>-3500</v>
      </c>
      <c r="B24" s="4" t="s">
        <v>5</v>
      </c>
      <c r="C24" s="8">
        <v>0</v>
      </c>
      <c r="D24" s="8">
        <v>0</v>
      </c>
      <c r="E24" s="8">
        <v>1132.3012026240604</v>
      </c>
      <c r="F24" s="8">
        <v>32379.747405441412</v>
      </c>
      <c r="G24" s="8">
        <v>1047.8335705359648</v>
      </c>
      <c r="H24" s="8">
        <v>160884.61233957921</v>
      </c>
      <c r="I24" s="8">
        <v>0</v>
      </c>
      <c r="J24" s="8">
        <v>195444.49451818064</v>
      </c>
      <c r="K24" s="9" t="s">
        <v>7</v>
      </c>
      <c r="L24" s="13">
        <v>5.0000000000000001E-4</v>
      </c>
    </row>
    <row r="25" spans="1:12" x14ac:dyDescent="0.55000000000000004">
      <c r="A25" s="6">
        <v>-2000</v>
      </c>
      <c r="B25" s="4" t="s">
        <v>5</v>
      </c>
      <c r="C25" s="8">
        <v>0</v>
      </c>
      <c r="D25" s="8">
        <v>0</v>
      </c>
      <c r="E25" s="8">
        <v>182.82749575949995</v>
      </c>
      <c r="F25" s="8">
        <v>9161.6012250383174</v>
      </c>
      <c r="G25" s="8">
        <v>0</v>
      </c>
      <c r="H25" s="8">
        <v>114298.4730402814</v>
      </c>
      <c r="I25" s="8">
        <v>0</v>
      </c>
      <c r="J25" s="8">
        <v>123642.90176107922</v>
      </c>
      <c r="K25" s="9" t="s">
        <v>7</v>
      </c>
      <c r="L25" s="13">
        <v>5.0000000000000001E-4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8F3C4-9124-4B2C-A930-99509DB914C0}">
  <dimension ref="A1:L25"/>
  <sheetViews>
    <sheetView workbookViewId="0">
      <selection activeCell="L24" sqref="L24"/>
    </sheetView>
  </sheetViews>
  <sheetFormatPr defaultRowHeight="14.4" x14ac:dyDescent="0.55000000000000004"/>
  <cols>
    <col min="1" max="1" width="11.41796875" customWidth="1"/>
    <col min="2" max="2" width="22.68359375" customWidth="1"/>
    <col min="3" max="3" width="9.9453125" customWidth="1"/>
    <col min="4" max="4" width="9.83984375" customWidth="1"/>
    <col min="5" max="5" width="15.5234375" customWidth="1"/>
    <col min="6" max="6" width="11.68359375" customWidth="1"/>
    <col min="7" max="7" width="9.9453125" customWidth="1"/>
    <col min="9" max="9" width="12.89453125" customWidth="1"/>
    <col min="10" max="10" width="13.9453125" customWidth="1"/>
    <col min="11" max="11" width="13.1015625" customWidth="1"/>
  </cols>
  <sheetData>
    <row r="1" spans="1:12" x14ac:dyDescent="0.55000000000000004">
      <c r="A1" s="11" t="s">
        <v>26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2" x14ac:dyDescent="0.55000000000000004">
      <c r="A2" s="12" t="s">
        <v>20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2" x14ac:dyDescent="0.55000000000000004">
      <c r="A3" s="10" t="s">
        <v>16</v>
      </c>
    </row>
    <row r="4" spans="1:12" ht="34.200000000000003" x14ac:dyDescent="0.55000000000000004">
      <c r="A4" s="2" t="s">
        <v>0</v>
      </c>
      <c r="B4" s="1" t="s">
        <v>1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2</v>
      </c>
      <c r="K4" s="2" t="s">
        <v>8</v>
      </c>
    </row>
    <row r="5" spans="1:12" x14ac:dyDescent="0.55000000000000004">
      <c r="A5" s="3"/>
      <c r="B5" s="4" t="s">
        <v>3</v>
      </c>
      <c r="C5" s="5">
        <v>92127619</v>
      </c>
      <c r="D5" s="5">
        <v>110331533</v>
      </c>
      <c r="E5" s="5">
        <v>914595</v>
      </c>
      <c r="F5" s="5">
        <v>4403423</v>
      </c>
      <c r="G5" s="5">
        <v>14782703</v>
      </c>
      <c r="H5" s="5">
        <v>0</v>
      </c>
      <c r="I5" s="5">
        <v>0</v>
      </c>
      <c r="J5" s="5">
        <v>222559873</v>
      </c>
      <c r="K5" s="5">
        <v>0</v>
      </c>
    </row>
    <row r="6" spans="1:12" x14ac:dyDescent="0.55000000000000004">
      <c r="A6" s="6">
        <v>-6500</v>
      </c>
      <c r="B6" s="4" t="s">
        <v>4</v>
      </c>
      <c r="C6" s="7">
        <v>0</v>
      </c>
      <c r="D6" s="7">
        <v>0</v>
      </c>
      <c r="E6" s="7">
        <v>1.699999988079071</v>
      </c>
      <c r="F6" s="7">
        <v>5.4332273152173594</v>
      </c>
      <c r="G6" s="7">
        <v>0.80925843670054798</v>
      </c>
      <c r="H6" s="7">
        <v>0</v>
      </c>
      <c r="I6" s="7">
        <v>0</v>
      </c>
      <c r="J6" s="3"/>
      <c r="K6" s="3"/>
    </row>
    <row r="7" spans="1:12" x14ac:dyDescent="0.55000000000000004">
      <c r="A7" s="6">
        <v>-5000</v>
      </c>
      <c r="B7" s="4" t="s">
        <v>4</v>
      </c>
      <c r="C7" s="7">
        <v>0</v>
      </c>
      <c r="D7" s="7">
        <v>0</v>
      </c>
      <c r="E7" s="7">
        <v>1.3000000119209292</v>
      </c>
      <c r="F7" s="7">
        <v>3.3595018623488389</v>
      </c>
      <c r="G7" s="7">
        <v>0.23277753488721234</v>
      </c>
      <c r="H7" s="7">
        <v>0</v>
      </c>
      <c r="I7" s="7">
        <v>0</v>
      </c>
      <c r="J7" s="3"/>
      <c r="K7" s="3"/>
    </row>
    <row r="8" spans="1:12" x14ac:dyDescent="0.55000000000000004">
      <c r="A8" s="6">
        <v>-3500</v>
      </c>
      <c r="B8" s="4" t="s">
        <v>4</v>
      </c>
      <c r="C8" s="7">
        <v>0</v>
      </c>
      <c r="D8" s="7">
        <v>0</v>
      </c>
      <c r="E8" s="7">
        <v>0.30000000447034836</v>
      </c>
      <c r="F8" s="7">
        <v>1.3101144414921571</v>
      </c>
      <c r="G8" s="7">
        <v>0.21092584749191814</v>
      </c>
      <c r="H8" s="7">
        <v>0</v>
      </c>
      <c r="I8" s="7">
        <v>0</v>
      </c>
      <c r="J8" s="3"/>
      <c r="K8" s="3"/>
    </row>
    <row r="9" spans="1:12" x14ac:dyDescent="0.55000000000000004">
      <c r="A9" s="6">
        <v>-2000</v>
      </c>
      <c r="B9" s="4" t="s">
        <v>4</v>
      </c>
      <c r="C9" s="7">
        <v>0</v>
      </c>
      <c r="D9" s="7">
        <v>0</v>
      </c>
      <c r="E9" s="7">
        <v>0.10000000149011613</v>
      </c>
      <c r="F9" s="7">
        <v>0.33180556674672773</v>
      </c>
      <c r="G9" s="7">
        <v>0</v>
      </c>
      <c r="H9" s="7">
        <v>0</v>
      </c>
      <c r="I9" s="7">
        <v>0</v>
      </c>
      <c r="J9" s="3"/>
      <c r="K9" s="3"/>
    </row>
    <row r="10" spans="1:12" x14ac:dyDescent="0.55000000000000004">
      <c r="A10" s="6">
        <v>-6500</v>
      </c>
      <c r="B10" s="4" t="s">
        <v>5</v>
      </c>
      <c r="C10" s="8">
        <v>0</v>
      </c>
      <c r="D10" s="8">
        <v>0</v>
      </c>
      <c r="E10" s="8">
        <v>15548.114890971779</v>
      </c>
      <c r="F10" s="8">
        <v>239247.98124056371</v>
      </c>
      <c r="G10" s="8">
        <v>119630.271199885</v>
      </c>
      <c r="H10" s="8">
        <v>0</v>
      </c>
      <c r="I10" s="8">
        <v>0</v>
      </c>
      <c r="J10" s="8">
        <v>374426.36733142048</v>
      </c>
      <c r="K10" s="9">
        <v>1.6823624235776792E-3</v>
      </c>
      <c r="L10" s="13">
        <f>K10</f>
        <v>1.6823624235776792E-3</v>
      </c>
    </row>
    <row r="11" spans="1:12" x14ac:dyDescent="0.55000000000000004">
      <c r="A11" s="6">
        <v>-5000</v>
      </c>
      <c r="B11" s="4" t="s">
        <v>5</v>
      </c>
      <c r="C11" s="8">
        <v>0</v>
      </c>
      <c r="D11" s="8">
        <v>0</v>
      </c>
      <c r="E11" s="8">
        <v>11889.735109028221</v>
      </c>
      <c r="F11" s="8">
        <v>147933.07769209711</v>
      </c>
      <c r="G11" s="8">
        <v>34410.811633097983</v>
      </c>
      <c r="H11" s="8">
        <v>0</v>
      </c>
      <c r="I11" s="8">
        <v>0</v>
      </c>
      <c r="J11" s="8">
        <v>194233.62443422334</v>
      </c>
      <c r="K11" s="9" t="s">
        <v>7</v>
      </c>
      <c r="L11" s="13">
        <v>5.0000000000000001E-4</v>
      </c>
    </row>
    <row r="12" spans="1:12" x14ac:dyDescent="0.55000000000000004">
      <c r="A12" s="6">
        <v>-3500</v>
      </c>
      <c r="B12" s="4" t="s">
        <v>5</v>
      </c>
      <c r="C12" s="8">
        <v>0</v>
      </c>
      <c r="D12" s="8">
        <v>0</v>
      </c>
      <c r="E12" s="8">
        <v>2743.7850408855825</v>
      </c>
      <c r="F12" s="8">
        <v>57689.880642987191</v>
      </c>
      <c r="G12" s="8">
        <v>31180.541584963205</v>
      </c>
      <c r="H12" s="8">
        <v>0</v>
      </c>
      <c r="I12" s="8">
        <v>0</v>
      </c>
      <c r="J12" s="8">
        <v>91614.207268835977</v>
      </c>
      <c r="K12" s="9" t="s">
        <v>7</v>
      </c>
      <c r="L12" s="13">
        <v>5.0000000000000001E-4</v>
      </c>
    </row>
    <row r="13" spans="1:12" x14ac:dyDescent="0.55000000000000004">
      <c r="A13" s="6">
        <v>-2000</v>
      </c>
      <c r="B13" s="4" t="s">
        <v>5</v>
      </c>
      <c r="C13" s="8">
        <v>0</v>
      </c>
      <c r="D13" s="8">
        <v>0</v>
      </c>
      <c r="E13" s="8">
        <v>914.59501362852757</v>
      </c>
      <c r="F13" s="8">
        <v>14610.80264140576</v>
      </c>
      <c r="G13" s="8">
        <v>0</v>
      </c>
      <c r="H13" s="8">
        <v>0</v>
      </c>
      <c r="I13" s="8">
        <v>0</v>
      </c>
      <c r="J13" s="8">
        <v>15525.397655034289</v>
      </c>
      <c r="K13" s="9" t="s">
        <v>7</v>
      </c>
      <c r="L13" s="13">
        <v>5.0000000000000001E-4</v>
      </c>
    </row>
    <row r="15" spans="1:12" x14ac:dyDescent="0.55000000000000004">
      <c r="A15" s="10" t="s">
        <v>19</v>
      </c>
    </row>
    <row r="16" spans="1:12" ht="34.200000000000003" x14ac:dyDescent="0.55000000000000004">
      <c r="A16" s="2" t="s">
        <v>0</v>
      </c>
      <c r="B16" s="1" t="s">
        <v>1</v>
      </c>
      <c r="C16" s="2" t="s">
        <v>9</v>
      </c>
      <c r="D16" s="2" t="s">
        <v>10</v>
      </c>
      <c r="E16" s="2" t="s">
        <v>11</v>
      </c>
      <c r="F16" s="2" t="s">
        <v>12</v>
      </c>
      <c r="G16" s="2" t="s">
        <v>13</v>
      </c>
      <c r="H16" s="2" t="s">
        <v>14</v>
      </c>
      <c r="I16" s="2" t="s">
        <v>15</v>
      </c>
      <c r="J16" s="2" t="s">
        <v>2</v>
      </c>
      <c r="K16" s="2" t="s">
        <v>8</v>
      </c>
    </row>
    <row r="17" spans="1:12" x14ac:dyDescent="0.55000000000000004">
      <c r="A17" s="3"/>
      <c r="B17" s="4" t="s">
        <v>3</v>
      </c>
      <c r="C17" s="5">
        <v>201259582.30036199</v>
      </c>
      <c r="D17" s="5">
        <v>125682276.53058419</v>
      </c>
      <c r="E17" s="5">
        <v>630445.97086776991</v>
      </c>
      <c r="F17" s="5">
        <v>7972275.6574883545</v>
      </c>
      <c r="G17" s="5">
        <v>24443347.242371023</v>
      </c>
      <c r="H17" s="5">
        <v>385731.46276917664</v>
      </c>
      <c r="I17" s="5">
        <v>0</v>
      </c>
      <c r="J17" s="5">
        <v>360373659.16444248</v>
      </c>
      <c r="K17" s="5">
        <v>0</v>
      </c>
    </row>
    <row r="18" spans="1:12" x14ac:dyDescent="0.55000000000000004">
      <c r="A18" s="6">
        <v>-6500</v>
      </c>
      <c r="B18" s="4" t="s">
        <v>4</v>
      </c>
      <c r="C18" s="7">
        <v>0</v>
      </c>
      <c r="D18" s="7">
        <v>0</v>
      </c>
      <c r="E18" s="7">
        <v>2.1929950270551926</v>
      </c>
      <c r="F18" s="7">
        <v>3.5802716664961549</v>
      </c>
      <c r="G18" s="7">
        <v>0.12956483180494305</v>
      </c>
      <c r="H18" s="7">
        <v>58.008584661840622</v>
      </c>
      <c r="I18" s="7">
        <v>0</v>
      </c>
      <c r="J18" s="3"/>
      <c r="K18" s="3"/>
    </row>
    <row r="19" spans="1:12" x14ac:dyDescent="0.55000000000000004">
      <c r="A19" s="6">
        <v>-5000</v>
      </c>
      <c r="B19" s="4" t="s">
        <v>4</v>
      </c>
      <c r="C19" s="7">
        <v>0</v>
      </c>
      <c r="D19" s="7">
        <v>0</v>
      </c>
      <c r="E19" s="7">
        <v>0.85862246819595067</v>
      </c>
      <c r="F19" s="7">
        <v>2.0918560557701826</v>
      </c>
      <c r="G19" s="7" t="s">
        <v>6</v>
      </c>
      <c r="H19" s="7">
        <v>53.797474552161731</v>
      </c>
      <c r="I19" s="7">
        <v>0</v>
      </c>
      <c r="J19" s="3"/>
      <c r="K19" s="3"/>
    </row>
    <row r="20" spans="1:12" x14ac:dyDescent="0.55000000000000004">
      <c r="A20" s="6">
        <v>-3500</v>
      </c>
      <c r="B20" s="4" t="s">
        <v>4</v>
      </c>
      <c r="C20" s="7">
        <v>0</v>
      </c>
      <c r="D20" s="7">
        <v>0</v>
      </c>
      <c r="E20" s="7">
        <v>0.32899971544154533</v>
      </c>
      <c r="F20" s="7">
        <v>0.99955624657072739</v>
      </c>
      <c r="G20" s="7" t="s">
        <v>6</v>
      </c>
      <c r="H20" s="7">
        <v>47.812648270613863</v>
      </c>
      <c r="I20" s="7">
        <v>0</v>
      </c>
      <c r="J20" s="3"/>
      <c r="K20" s="3"/>
    </row>
    <row r="21" spans="1:12" x14ac:dyDescent="0.55000000000000004">
      <c r="A21" s="6">
        <v>-2000</v>
      </c>
      <c r="B21" s="4" t="s">
        <v>4</v>
      </c>
      <c r="C21" s="7">
        <v>0</v>
      </c>
      <c r="D21" s="7">
        <v>0</v>
      </c>
      <c r="E21" s="7">
        <v>0.10860291757896239</v>
      </c>
      <c r="F21" s="7">
        <v>0.29259890983364878</v>
      </c>
      <c r="G21" s="7" t="s">
        <v>6</v>
      </c>
      <c r="H21" s="7">
        <v>37.6395232068637</v>
      </c>
      <c r="I21" s="7">
        <v>0</v>
      </c>
      <c r="J21" s="3"/>
      <c r="K21" s="3"/>
    </row>
    <row r="22" spans="1:12" x14ac:dyDescent="0.55000000000000004">
      <c r="A22" s="6">
        <v>-6500</v>
      </c>
      <c r="B22" s="4" t="s">
        <v>5</v>
      </c>
      <c r="C22" s="8">
        <v>0</v>
      </c>
      <c r="D22" s="8">
        <v>0</v>
      </c>
      <c r="E22" s="8">
        <v>13825.648789400022</v>
      </c>
      <c r="F22" s="8">
        <v>285429.12654002558</v>
      </c>
      <c r="G22" s="8">
        <v>31669.981742076201</v>
      </c>
      <c r="H22" s="8">
        <v>223757.36214781407</v>
      </c>
      <c r="I22" s="8">
        <v>0</v>
      </c>
      <c r="J22" s="8">
        <v>554682.11921931594</v>
      </c>
      <c r="K22" s="9">
        <v>1.5391860784314659E-3</v>
      </c>
      <c r="L22" s="13">
        <f>K22</f>
        <v>1.5391860784314659E-3</v>
      </c>
    </row>
    <row r="23" spans="1:12" x14ac:dyDescent="0.55000000000000004">
      <c r="A23" s="6">
        <v>-5000</v>
      </c>
      <c r="B23" s="4" t="s">
        <v>5</v>
      </c>
      <c r="C23" s="8">
        <v>0</v>
      </c>
      <c r="D23" s="8">
        <v>0</v>
      </c>
      <c r="E23" s="8">
        <v>5413.1507557067698</v>
      </c>
      <c r="F23" s="8">
        <v>166768.53112386231</v>
      </c>
      <c r="G23" s="8">
        <v>9757.9851173507468</v>
      </c>
      <c r="H23" s="8">
        <v>207513.78552292899</v>
      </c>
      <c r="I23" s="8">
        <v>0</v>
      </c>
      <c r="J23" s="8">
        <v>389453.45251984883</v>
      </c>
      <c r="K23" s="9">
        <v>1.0806934486355922E-3</v>
      </c>
      <c r="L23" s="13">
        <f>K23</f>
        <v>1.0806934486355922E-3</v>
      </c>
    </row>
    <row r="24" spans="1:12" x14ac:dyDescent="0.55000000000000004">
      <c r="A24" s="6">
        <v>-3500</v>
      </c>
      <c r="B24" s="4" t="s">
        <v>5</v>
      </c>
      <c r="C24" s="8">
        <v>0</v>
      </c>
      <c r="D24" s="8">
        <v>0</v>
      </c>
      <c r="E24" s="8">
        <v>2074.1654501676508</v>
      </c>
      <c r="F24" s="8">
        <v>79687.379328262381</v>
      </c>
      <c r="G24" s="8">
        <v>3180.8192316567206</v>
      </c>
      <c r="H24" s="8">
        <v>184428.42756292029</v>
      </c>
      <c r="I24" s="8">
        <v>0</v>
      </c>
      <c r="J24" s="8">
        <v>269370.79157300701</v>
      </c>
      <c r="K24" s="9" t="s">
        <v>7</v>
      </c>
      <c r="L24" s="13">
        <v>5.0000000000000001E-4</v>
      </c>
    </row>
    <row r="25" spans="1:12" x14ac:dyDescent="0.55000000000000004">
      <c r="A25" s="6">
        <v>-2000</v>
      </c>
      <c r="B25" s="4" t="s">
        <v>5</v>
      </c>
      <c r="C25" s="8">
        <v>0</v>
      </c>
      <c r="D25" s="8">
        <v>0</v>
      </c>
      <c r="E25" s="8">
        <v>684.68271812141336</v>
      </c>
      <c r="F25" s="8">
        <v>23326.791662744279</v>
      </c>
      <c r="G25" s="8">
        <v>239.81323378758563</v>
      </c>
      <c r="H25" s="8">
        <v>145187.48344517907</v>
      </c>
      <c r="I25" s="8">
        <v>0</v>
      </c>
      <c r="J25" s="8">
        <v>169438.77105983236</v>
      </c>
      <c r="K25" s="9" t="s">
        <v>7</v>
      </c>
      <c r="L25" s="13">
        <v>5.0000000000000001E-4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Week1</vt:lpstr>
      <vt:lpstr>Week2</vt:lpstr>
      <vt:lpstr>Week3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Witt, Adam</dc:creator>
  <cp:lastModifiedBy>Witt, Adam</cp:lastModifiedBy>
  <dcterms:created xsi:type="dcterms:W3CDTF">2026-03-18T18:26:46Z</dcterms:created>
  <dcterms:modified xsi:type="dcterms:W3CDTF">2026-03-24T15:46:42Z</dcterms:modified>
</cp:coreProperties>
</file>