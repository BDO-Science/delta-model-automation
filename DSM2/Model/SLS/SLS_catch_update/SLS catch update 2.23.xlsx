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U:\NativeFish\Data Reporting\SLS Catch Summaries\2026\"/>
    </mc:Choice>
  </mc:AlternateContent>
  <xr:revisionPtr revIDLastSave="0" documentId="8_{0BBBAF70-6E18-47F1-9CA1-2EA0D7DB2607}" xr6:coauthVersionLast="47" xr6:coauthVersionMax="47" xr10:uidLastSave="{00000000-0000-0000-0000-000000000000}"/>
  <bookViews>
    <workbookView xWindow="-120" yWindow="-120" windowWidth="29040" windowHeight="15720" activeTab="5" xr2:uid="{E318DA66-929E-4160-AE8F-A3EAE62CC340}"/>
  </bookViews>
  <sheets>
    <sheet name="Survey 12" sheetId="24" r:id="rId1"/>
    <sheet name="Survey 13 " sheetId="25" r:id="rId2"/>
    <sheet name="Survey 1" sheetId="26" r:id="rId3"/>
    <sheet name="Survey 2" sheetId="27" r:id="rId4"/>
    <sheet name="Survey 3" sheetId="28" r:id="rId5"/>
    <sheet name="Survey 4 " sheetId="29" r:id="rId6"/>
    <sheet name="SLS Map" sheetId="32" r:id="rId7"/>
  </sheets>
  <externalReferences>
    <externalReference r:id="rId8"/>
  </externalReferences>
  <definedNames>
    <definedName name="_xlnm._FilterDatabase" localSheetId="2" hidden="1">'Survey 1'!#REF!</definedName>
    <definedName name="_xlnm._FilterDatabase" localSheetId="0" hidden="1">'Survey 12'!#REF!</definedName>
    <definedName name="_xlnm._FilterDatabase" localSheetId="1" hidden="1">'Survey 13 '!#REF!</definedName>
    <definedName name="_xlnm._FilterDatabase" localSheetId="3" hidden="1">'Survey 2'!#REF!</definedName>
    <definedName name="_xlnm._FilterDatabase" localSheetId="4" hidden="1">'Survey 3'!#REF!</definedName>
    <definedName name="_xlnm._FilterDatabase" localSheetId="5" hidden="1">'Survey 4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29" l="1"/>
  <c r="C60" i="29"/>
  <c r="C59" i="29"/>
  <c r="C58" i="29"/>
  <c r="C57" i="29"/>
  <c r="C56" i="29"/>
  <c r="C55" i="29"/>
  <c r="C54" i="29"/>
  <c r="C53" i="29"/>
  <c r="C52" i="29"/>
  <c r="C51" i="29"/>
  <c r="B51" i="29"/>
  <c r="B52" i="29" s="1"/>
  <c r="B53" i="29" s="1"/>
  <c r="B54" i="29" s="1"/>
  <c r="B55" i="29" s="1"/>
  <c r="B56" i="29" s="1"/>
  <c r="B57" i="29" s="1"/>
  <c r="B58" i="29" s="1"/>
  <c r="B59" i="29" s="1"/>
  <c r="B60" i="29" s="1"/>
  <c r="B61" i="29" s="1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19" i="29"/>
  <c r="C18" i="29"/>
  <c r="C17" i="29"/>
  <c r="C16" i="29"/>
  <c r="C4" i="29"/>
  <c r="C5" i="29" s="1"/>
  <c r="B3" i="29"/>
  <c r="B4" i="29" s="1"/>
  <c r="B5" i="29" s="1"/>
  <c r="B6" i="29" s="1"/>
  <c r="B7" i="29" s="1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C61" i="28"/>
  <c r="C60" i="28"/>
  <c r="C59" i="28"/>
  <c r="C58" i="28"/>
  <c r="C57" i="28"/>
  <c r="C56" i="28"/>
  <c r="C55" i="28"/>
  <c r="C54" i="28"/>
  <c r="C53" i="28"/>
  <c r="C52" i="28"/>
  <c r="C51" i="28"/>
  <c r="B51" i="28"/>
  <c r="B52" i="28" s="1"/>
  <c r="B53" i="28" s="1"/>
  <c r="B54" i="28" s="1"/>
  <c r="B55" i="28" s="1"/>
  <c r="B56" i="28" s="1"/>
  <c r="B57" i="28" s="1"/>
  <c r="B58" i="28" s="1"/>
  <c r="B59" i="28" s="1"/>
  <c r="B60" i="28" s="1"/>
  <c r="B61" i="28" s="1"/>
  <c r="C50" i="28"/>
  <c r="C49" i="28"/>
  <c r="C48" i="28"/>
  <c r="C47" i="28"/>
  <c r="C46" i="28"/>
  <c r="C45" i="28"/>
  <c r="C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19" i="28"/>
  <c r="C18" i="28"/>
  <c r="C17" i="28"/>
  <c r="C16" i="28"/>
  <c r="C4" i="28"/>
  <c r="C5" i="28" s="1"/>
  <c r="B3" i="28"/>
  <c r="B4" i="28" s="1"/>
  <c r="B5" i="28" s="1"/>
  <c r="B6" i="28" s="1"/>
  <c r="B7" i="28" s="1"/>
  <c r="B8" i="28" s="1"/>
  <c r="B9" i="28" s="1"/>
  <c r="B10" i="28" s="1"/>
  <c r="B11" i="28" s="1"/>
  <c r="B12" i="28" s="1"/>
  <c r="B13" i="28" s="1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B31" i="28" s="1"/>
  <c r="B32" i="28" s="1"/>
  <c r="B33" i="28" s="1"/>
  <c r="B34" i="28" s="1"/>
  <c r="B35" i="28" s="1"/>
  <c r="B36" i="28" s="1"/>
  <c r="B37" i="28" s="1"/>
  <c r="B38" i="28" s="1"/>
  <c r="B39" i="28" s="1"/>
  <c r="B40" i="28" s="1"/>
  <c r="B41" i="28" s="1"/>
  <c r="B42" i="28" s="1"/>
  <c r="B43" i="28" s="1"/>
  <c r="B44" i="28" s="1"/>
  <c r="B45" i="28" s="1"/>
  <c r="B46" i="28" s="1"/>
  <c r="B47" i="28" s="1"/>
  <c r="B48" i="28" s="1"/>
  <c r="B49" i="28" s="1"/>
  <c r="I73" i="26"/>
  <c r="I77" i="29"/>
  <c r="C6" i="29" l="1"/>
  <c r="C23" i="29"/>
  <c r="C20" i="29"/>
  <c r="C6" i="28"/>
  <c r="C23" i="28"/>
  <c r="C20" i="28"/>
  <c r="I79" i="29"/>
  <c r="I80" i="29"/>
  <c r="I78" i="29"/>
  <c r="I76" i="29"/>
  <c r="I75" i="29"/>
  <c r="I74" i="29"/>
  <c r="I73" i="29"/>
  <c r="I71" i="29"/>
  <c r="C17" i="27"/>
  <c r="C18" i="27"/>
  <c r="I80" i="28"/>
  <c r="I79" i="28"/>
  <c r="I78" i="28"/>
  <c r="I77" i="28"/>
  <c r="I76" i="28"/>
  <c r="I75" i="28"/>
  <c r="I74" i="28"/>
  <c r="I73" i="28"/>
  <c r="I71" i="28"/>
  <c r="I80" i="27"/>
  <c r="I79" i="27"/>
  <c r="I78" i="27"/>
  <c r="I77" i="27"/>
  <c r="I76" i="27"/>
  <c r="I75" i="27"/>
  <c r="I74" i="27"/>
  <c r="I73" i="27"/>
  <c r="I81" i="27" s="1"/>
  <c r="I71" i="27"/>
  <c r="C61" i="27"/>
  <c r="C60" i="27"/>
  <c r="C59" i="27"/>
  <c r="C58" i="27"/>
  <c r="C57" i="27"/>
  <c r="C56" i="27"/>
  <c r="C55" i="27"/>
  <c r="C54" i="27"/>
  <c r="C53" i="27"/>
  <c r="C52" i="27"/>
  <c r="C51" i="27"/>
  <c r="B51" i="27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16" i="27"/>
  <c r="C4" i="27"/>
  <c r="C5" i="27" s="1"/>
  <c r="C20" i="27" s="1"/>
  <c r="B3" i="27"/>
  <c r="B4" i="27" s="1"/>
  <c r="B5" i="27" s="1"/>
  <c r="B6" i="27" s="1"/>
  <c r="B7" i="27" s="1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I80" i="26"/>
  <c r="I79" i="26"/>
  <c r="I78" i="26"/>
  <c r="I77" i="26"/>
  <c r="I76" i="26"/>
  <c r="I75" i="26"/>
  <c r="I74" i="26"/>
  <c r="I71" i="26"/>
  <c r="C61" i="26"/>
  <c r="C60" i="26"/>
  <c r="C59" i="26"/>
  <c r="C58" i="26"/>
  <c r="C57" i="26"/>
  <c r="C56" i="26"/>
  <c r="C55" i="26"/>
  <c r="C54" i="26"/>
  <c r="C53" i="26"/>
  <c r="C52" i="26"/>
  <c r="C51" i="26"/>
  <c r="B51" i="26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19" i="26"/>
  <c r="C18" i="26"/>
  <c r="C17" i="26"/>
  <c r="C16" i="26"/>
  <c r="C4" i="26"/>
  <c r="C5" i="26" s="1"/>
  <c r="C20" i="26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3" i="25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I80" i="25"/>
  <c r="I79" i="25"/>
  <c r="I78" i="25"/>
  <c r="I77" i="25"/>
  <c r="I76" i="25"/>
  <c r="I75" i="25"/>
  <c r="I74" i="25"/>
  <c r="I73" i="25"/>
  <c r="I71" i="25"/>
  <c r="G68" i="25"/>
  <c r="O67" i="25"/>
  <c r="M67" i="25"/>
  <c r="L67" i="25"/>
  <c r="J67" i="25"/>
  <c r="C61" i="25"/>
  <c r="C60" i="25"/>
  <c r="C59" i="25"/>
  <c r="C58" i="25"/>
  <c r="C57" i="25"/>
  <c r="C56" i="25"/>
  <c r="C55" i="25"/>
  <c r="C54" i="25"/>
  <c r="C53" i="25"/>
  <c r="C52" i="25"/>
  <c r="C51" i="25"/>
  <c r="B51" i="25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18" i="25"/>
  <c r="C17" i="25"/>
  <c r="C16" i="25"/>
  <c r="C4" i="25"/>
  <c r="C19" i="25" s="1"/>
  <c r="I80" i="24"/>
  <c r="I79" i="24"/>
  <c r="I78" i="24"/>
  <c r="I77" i="24"/>
  <c r="I75" i="24"/>
  <c r="I76" i="24"/>
  <c r="I74" i="24"/>
  <c r="I73" i="24"/>
  <c r="C4" i="24"/>
  <c r="C19" i="24" s="1"/>
  <c r="I71" i="24"/>
  <c r="C61" i="24"/>
  <c r="C60" i="24"/>
  <c r="C59" i="24"/>
  <c r="C58" i="24"/>
  <c r="C57" i="24"/>
  <c r="C56" i="24"/>
  <c r="C55" i="24"/>
  <c r="C54" i="24"/>
  <c r="C53" i="24"/>
  <c r="C52" i="24"/>
  <c r="C51" i="24"/>
  <c r="B51" i="24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18" i="24"/>
  <c r="C17" i="24"/>
  <c r="C16" i="24"/>
  <c r="B4" i="24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C24" i="29" l="1"/>
  <c r="C21" i="29"/>
  <c r="C7" i="29"/>
  <c r="C24" i="28"/>
  <c r="C7" i="28"/>
  <c r="C21" i="28"/>
  <c r="I81" i="25"/>
  <c r="I81" i="26"/>
  <c r="C23" i="27"/>
  <c r="C19" i="27"/>
  <c r="I81" i="28"/>
  <c r="I81" i="29"/>
  <c r="B25" i="27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C6" i="27"/>
  <c r="C23" i="26"/>
  <c r="C6" i="26"/>
  <c r="C5" i="25"/>
  <c r="I81" i="24"/>
  <c r="C5" i="24"/>
  <c r="C22" i="29" l="1"/>
  <c r="C8" i="29"/>
  <c r="C9" i="29" s="1"/>
  <c r="C10" i="29" s="1"/>
  <c r="C11" i="29" s="1"/>
  <c r="C12" i="29" s="1"/>
  <c r="C13" i="29" s="1"/>
  <c r="C14" i="29" s="1"/>
  <c r="C15" i="29" s="1"/>
  <c r="C22" i="28"/>
  <c r="C8" i="28"/>
  <c r="C9" i="28" s="1"/>
  <c r="C10" i="28" s="1"/>
  <c r="C11" i="28" s="1"/>
  <c r="C12" i="28" s="1"/>
  <c r="C13" i="28" s="1"/>
  <c r="C14" i="28" s="1"/>
  <c r="C15" i="28" s="1"/>
  <c r="C21" i="27"/>
  <c r="C24" i="27"/>
  <c r="C7" i="27"/>
  <c r="C22" i="27" s="1"/>
  <c r="C7" i="26"/>
  <c r="C21" i="26"/>
  <c r="C24" i="26"/>
  <c r="C20" i="25"/>
  <c r="C6" i="25"/>
  <c r="C23" i="25"/>
  <c r="C6" i="24"/>
  <c r="C23" i="24"/>
  <c r="C20" i="24"/>
  <c r="C8" i="27" l="1"/>
  <c r="C9" i="27" s="1"/>
  <c r="C10" i="27" s="1"/>
  <c r="C11" i="27" s="1"/>
  <c r="C12" i="27" s="1"/>
  <c r="C13" i="27" s="1"/>
  <c r="C14" i="27" s="1"/>
  <c r="C15" i="27" s="1"/>
  <c r="C8" i="26"/>
  <c r="C9" i="26" s="1"/>
  <c r="C10" i="26" s="1"/>
  <c r="C11" i="26" s="1"/>
  <c r="C12" i="26" s="1"/>
  <c r="C13" i="26" s="1"/>
  <c r="C14" i="26" s="1"/>
  <c r="C15" i="26" s="1"/>
  <c r="C22" i="26"/>
  <c r="C21" i="25"/>
  <c r="C7" i="25"/>
  <c r="C24" i="25"/>
  <c r="C7" i="24"/>
  <c r="C24" i="24"/>
  <c r="C21" i="24"/>
  <c r="C8" i="25" l="1"/>
  <c r="C9" i="25" s="1"/>
  <c r="C10" i="25" s="1"/>
  <c r="C11" i="25" s="1"/>
  <c r="C12" i="25" s="1"/>
  <c r="C13" i="25" s="1"/>
  <c r="C14" i="25" s="1"/>
  <c r="C15" i="25" s="1"/>
  <c r="C22" i="25"/>
  <c r="C22" i="24"/>
  <c r="C8" i="24"/>
  <c r="C9" i="24" s="1"/>
  <c r="C10" i="24" s="1"/>
  <c r="C11" i="24" s="1"/>
  <c r="C12" i="24" s="1"/>
  <c r="C13" i="24" s="1"/>
  <c r="C14" i="24" s="1"/>
  <c r="C15" i="24" s="1"/>
</calcChain>
</file>

<file path=xl/sharedStrings.xml><?xml version="1.0" encoding="utf-8"?>
<sst xmlns="http://schemas.openxmlformats.org/spreadsheetml/2006/main" count="1164" uniqueCount="49">
  <si>
    <t>Year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</si>
  <si>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</si>
  <si>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</si>
  <si>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</si>
  <si>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</si>
  <si>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</si>
  <si>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</si>
  <si>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</si>
  <si>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</si>
  <si>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</si>
  <si>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</si>
  <si>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</si>
  <si>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>San pablo</t>
  </si>
  <si>
    <t>Napa River</t>
  </si>
  <si>
    <t>carquinez strait</t>
  </si>
  <si>
    <t>Suisun bay and Marsh</t>
  </si>
  <si>
    <t>Confluence</t>
  </si>
  <si>
    <t>Sac River system</t>
  </si>
  <si>
    <t>Processed</t>
  </si>
  <si>
    <t>No Smelt Catch</t>
  </si>
  <si>
    <t>Completed</t>
  </si>
  <si>
    <t>Not Processed</t>
  </si>
  <si>
    <t>Processing is complete through 12/8/2025</t>
  </si>
  <si>
    <t xml:space="preserve">Longfin Smelt 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</si>
  <si>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</si>
  <si>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</si>
  <si>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</si>
  <si>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</si>
  <si>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</si>
  <si>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</si>
  <si>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Longfin Smelt</t>
  </si>
  <si>
    <t>Not Sampled</t>
  </si>
  <si>
    <t>Processing is complete through 1/13/26</t>
  </si>
  <si>
    <r>
      <t>418</t>
    </r>
    <r>
      <rPr>
        <sz val="14"/>
        <color rgb="FF000000"/>
        <rFont val="Arial"/>
        <family val="2"/>
      </rPr>
      <t>*</t>
    </r>
  </si>
  <si>
    <t>Processing is complete through 2/2/26</t>
  </si>
  <si>
    <t>Central &amp; South Delta</t>
  </si>
  <si>
    <t>Survey</t>
  </si>
  <si>
    <t>Station</t>
  </si>
  <si>
    <t>San Pablo Bay</t>
  </si>
  <si>
    <t>Carquinez Strait</t>
  </si>
  <si>
    <t>Suisun Bay &amp; Marsh</t>
  </si>
  <si>
    <t>Sac. River System</t>
  </si>
  <si>
    <t>Num tows:</t>
  </si>
  <si>
    <t>Processed tows:</t>
  </si>
  <si>
    <t>% Complete</t>
  </si>
  <si>
    <t>809+ 812</t>
  </si>
  <si>
    <t>Central &amp; south</t>
  </si>
  <si>
    <t>CDFW’s 2026 Smelt Larva Survey station locations.</t>
  </si>
  <si>
    <t>Processing is complete through 2/23/26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</si>
</sst>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\-mmm\-yy"/>
    <numFmt numFmtId="166" formatCode="m/d/yy;@"/>
    <numFmt numFmtId="167" formatCode="0.0%"/>
  </numFmts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sz val="11"/>
      <color indexed="8"/>
      <name val="Calibri"/>
    </font>
    <font>
      <sz val="10"/>
      <color indexed="8"/>
      <name val="Arial"/>
    </font>
    <font>
      <sz val="12"/>
      <color indexed="8"/>
      <name val="Arial"/>
      <family val="2"/>
    </font>
    <font>
      <sz val="20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8"/>
      </patternFill>
    </fill>
    <fill>
      <patternFill patternType="solid">
        <fgColor rgb="FFFED0D0"/>
        <bgColor indexed="64"/>
      </patternFill>
    </fill>
    <fill>
      <patternFill patternType="solid">
        <fgColor rgb="FFFED0D0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1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theme="0"/>
        <bgColor indexed="0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0" fillId="0" borderId="0"/>
  </cellStyleXfs>
  <cellXfs count="369">
    <xf numFmtId="0" fontId="0" fillId="0" borderId="0" xfId="0"/>
    <xf numFmtId="0" fontId="1" fillId="5" borderId="3" xfId="1" applyFill="1" applyBorder="1" applyAlignment="1">
      <alignment horizontal="center"/>
    </xf>
    <xf numFmtId="0" fontId="1" fillId="5" borderId="0" xfId="1" applyFill="1" applyAlignment="1">
      <alignment horizontal="center"/>
    </xf>
    <xf numFmtId="0" fontId="2" fillId="5" borderId="0" xfId="0" applyFont="1" applyFill="1"/>
    <xf numFmtId="0" fontId="6" fillId="0" borderId="0" xfId="0" applyFont="1" applyAlignment="1">
      <alignment horizontal="left"/>
    </xf>
    <xf numFmtId="0" fontId="6" fillId="5" borderId="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7" xfId="0" applyFont="1" applyFill="1" applyBorder="1"/>
    <xf numFmtId="0" fontId="6" fillId="5" borderId="0" xfId="0" applyFont="1" applyFill="1"/>
    <xf numFmtId="0" fontId="1" fillId="0" borderId="1" xfId="2" applyBorder="1" applyAlignment="1">
      <alignment horizontal="center"/>
    </xf>
    <xf numFmtId="0" fontId="5" fillId="0" borderId="1" xfId="2" applyFont="1" applyBorder="1" applyAlignment="1">
      <alignment horizontal="center"/>
    </xf>
    <xf numFmtId="164" fontId="1" fillId="0" borderId="1" xfId="2" applyNumberFormat="1" applyBorder="1" applyAlignment="1">
      <alignment horizontal="center"/>
    </xf>
    <xf numFmtId="0" fontId="1" fillId="0" borderId="0" xfId="2" applyAlignment="1">
      <alignment horizontal="center" vertical="center"/>
    </xf>
    <xf numFmtId="0" fontId="1" fillId="0" borderId="9" xfId="2" applyBorder="1" applyAlignment="1">
      <alignment horizontal="center"/>
    </xf>
    <xf numFmtId="0" fontId="1" fillId="0" borderId="0" xfId="2" applyAlignment="1">
      <alignment horizontal="center"/>
    </xf>
    <xf numFmtId="0" fontId="11" fillId="0" borderId="11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6" fillId="5" borderId="3" xfId="2" applyFont="1" applyFill="1" applyBorder="1" applyAlignment="1">
      <alignment horizontal="center"/>
    </xf>
    <xf numFmtId="0" fontId="6" fillId="5" borderId="23" xfId="2" applyFont="1" applyFill="1" applyBorder="1" applyAlignment="1">
      <alignment horizontal="center"/>
    </xf>
    <xf numFmtId="164" fontId="6" fillId="5" borderId="3" xfId="2" applyNumberFormat="1" applyFont="1" applyFill="1" applyBorder="1" applyAlignment="1">
      <alignment horizontal="center"/>
    </xf>
    <xf numFmtId="0" fontId="6" fillId="5" borderId="0" xfId="2" applyFont="1" applyFill="1" applyAlignment="1">
      <alignment horizontal="center" vertical="center"/>
    </xf>
    <xf numFmtId="0" fontId="6" fillId="5" borderId="0" xfId="2" applyFont="1" applyFill="1" applyAlignment="1">
      <alignment horizontal="center"/>
    </xf>
    <xf numFmtId="164" fontId="6" fillId="5" borderId="0" xfId="2" applyNumberFormat="1" applyFont="1" applyFill="1" applyAlignment="1">
      <alignment horizontal="center"/>
    </xf>
    <xf numFmtId="0" fontId="6" fillId="5" borderId="1" xfId="2" applyFont="1" applyFill="1" applyBorder="1" applyAlignment="1">
      <alignment horizontal="center" vertical="center"/>
    </xf>
    <xf numFmtId="0" fontId="6" fillId="5" borderId="0" xfId="2" applyFont="1" applyFill="1"/>
    <xf numFmtId="164" fontId="6" fillId="5" borderId="0" xfId="2" applyNumberFormat="1" applyFont="1" applyFill="1"/>
    <xf numFmtId="0" fontId="6" fillId="0" borderId="0" xfId="2" applyFont="1" applyAlignment="1">
      <alignment horizontal="center" vertical="center"/>
    </xf>
    <xf numFmtId="0" fontId="1" fillId="0" borderId="11" xfId="2" applyBorder="1" applyAlignment="1">
      <alignment horizontal="center"/>
    </xf>
    <xf numFmtId="0" fontId="1" fillId="5" borderId="0" xfId="2" applyFill="1" applyAlignment="1">
      <alignment horizontal="center"/>
    </xf>
    <xf numFmtId="0" fontId="5" fillId="5" borderId="0" xfId="2" applyFont="1" applyFill="1" applyAlignment="1">
      <alignment horizontal="center"/>
    </xf>
    <xf numFmtId="1" fontId="1" fillId="5" borderId="0" xfId="2" applyNumberFormat="1" applyFill="1" applyAlignment="1">
      <alignment horizontal="center"/>
    </xf>
    <xf numFmtId="0" fontId="1" fillId="5" borderId="7" xfId="2" applyFill="1" applyBorder="1" applyAlignment="1">
      <alignment horizontal="center"/>
    </xf>
    <xf numFmtId="1" fontId="1" fillId="5" borderId="7" xfId="2" applyNumberFormat="1" applyFill="1" applyBorder="1" applyAlignment="1">
      <alignment horizontal="center"/>
    </xf>
    <xf numFmtId="0" fontId="1" fillId="5" borderId="0" xfId="2" applyFill="1"/>
    <xf numFmtId="0" fontId="1" fillId="0" borderId="10" xfId="2" applyBorder="1" applyAlignment="1">
      <alignment horizontal="center"/>
    </xf>
    <xf numFmtId="164" fontId="1" fillId="0" borderId="0" xfId="2" applyNumberFormat="1" applyAlignment="1">
      <alignment horizontal="center"/>
    </xf>
    <xf numFmtId="0" fontId="3" fillId="0" borderId="6" xfId="3" applyFont="1" applyBorder="1" applyAlignment="1">
      <alignment wrapText="1"/>
    </xf>
    <xf numFmtId="0" fontId="3" fillId="0" borderId="6" xfId="3" applyFont="1" applyBorder="1" applyAlignment="1">
      <alignment horizontal="right" wrapText="1"/>
    </xf>
    <xf numFmtId="165" fontId="3" fillId="0" borderId="6" xfId="3" applyNumberFormat="1" applyFont="1" applyBorder="1" applyAlignment="1">
      <alignment horizontal="right" wrapText="1"/>
    </xf>
    <xf numFmtId="0" fontId="1" fillId="0" borderId="0" xfId="3"/>
    <xf numFmtId="0" fontId="5" fillId="0" borderId="0" xfId="2" applyFont="1" applyAlignment="1">
      <alignment horizontal="center"/>
    </xf>
    <xf numFmtId="0" fontId="1" fillId="0" borderId="24" xfId="2" applyBorder="1" applyAlignment="1">
      <alignment horizontal="center"/>
    </xf>
    <xf numFmtId="1" fontId="1" fillId="0" borderId="0" xfId="2" applyNumberFormat="1" applyAlignment="1">
      <alignment horizontal="center"/>
    </xf>
    <xf numFmtId="0" fontId="1" fillId="0" borderId="25" xfId="2" applyBorder="1" applyAlignment="1">
      <alignment horizontal="center"/>
    </xf>
    <xf numFmtId="0" fontId="1" fillId="0" borderId="2" xfId="2" applyBorder="1" applyAlignment="1">
      <alignment horizontal="center"/>
    </xf>
    <xf numFmtId="167" fontId="1" fillId="0" borderId="0" xfId="2" applyNumberFormat="1" applyAlignment="1">
      <alignment horizontal="center"/>
    </xf>
    <xf numFmtId="0" fontId="5" fillId="0" borderId="0" xfId="2" applyFont="1" applyAlignment="1">
      <alignment horizontal="left"/>
    </xf>
    <xf numFmtId="0" fontId="9" fillId="26" borderId="5" xfId="4" applyFont="1" applyFill="1" applyBorder="1" applyAlignment="1">
      <alignment horizontal="center"/>
    </xf>
    <xf numFmtId="0" fontId="9" fillId="5" borderId="6" xfId="4" applyFont="1" applyFill="1" applyBorder="1" applyAlignment="1">
      <alignment horizontal="right" wrapText="1"/>
    </xf>
    <xf numFmtId="0" fontId="6" fillId="8" borderId="8" xfId="2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164" fontId="6" fillId="8" borderId="31" xfId="2" applyNumberFormat="1" applyFont="1" applyFill="1" applyBorder="1" applyAlignment="1">
      <alignment horizontal="center" vertical="center" wrapText="1"/>
    </xf>
    <xf numFmtId="164" fontId="6" fillId="8" borderId="8" xfId="2" applyNumberFormat="1" applyFont="1" applyFill="1" applyBorder="1" applyAlignment="1">
      <alignment horizontal="center" vertical="center" wrapText="1"/>
    </xf>
    <xf numFmtId="164" fontId="6" fillId="8" borderId="30" xfId="2" applyNumberFormat="1" applyFont="1" applyFill="1" applyBorder="1" applyAlignment="1">
      <alignment horizontal="center" vertical="center" wrapText="1"/>
    </xf>
    <xf numFmtId="0" fontId="1" fillId="9" borderId="12" xfId="2" applyFill="1" applyBorder="1" applyAlignment="1">
      <alignment horizontal="center"/>
    </xf>
    <xf numFmtId="166" fontId="1" fillId="9" borderId="12" xfId="2" applyNumberFormat="1" applyFill="1" applyBorder="1" applyAlignment="1">
      <alignment horizontal="center"/>
    </xf>
    <xf numFmtId="1" fontId="1" fillId="9" borderId="12" xfId="2" applyNumberFormat="1" applyFill="1" applyBorder="1" applyAlignment="1">
      <alignment horizontal="center"/>
    </xf>
    <xf numFmtId="1" fontId="1" fillId="9" borderId="13" xfId="2" applyNumberFormat="1" applyFill="1" applyBorder="1" applyAlignment="1">
      <alignment horizontal="center"/>
    </xf>
    <xf numFmtId="164" fontId="4" fillId="9" borderId="32" xfId="2" applyNumberFormat="1" applyFont="1" applyFill="1" applyBorder="1" applyAlignment="1">
      <alignment horizontal="center"/>
    </xf>
    <xf numFmtId="164" fontId="4" fillId="9" borderId="12" xfId="2" applyNumberFormat="1" applyFont="1" applyFill="1" applyBorder="1" applyAlignment="1">
      <alignment horizontal="center"/>
    </xf>
    <xf numFmtId="164" fontId="4" fillId="9" borderId="13" xfId="2" applyNumberFormat="1" applyFont="1" applyFill="1" applyBorder="1" applyAlignment="1">
      <alignment horizontal="center"/>
    </xf>
    <xf numFmtId="0" fontId="1" fillId="9" borderId="14" xfId="2" applyFill="1" applyBorder="1" applyAlignment="1">
      <alignment horizontal="center"/>
    </xf>
    <xf numFmtId="0" fontId="1" fillId="10" borderId="15" xfId="2" applyFill="1" applyBorder="1" applyAlignment="1">
      <alignment horizontal="center"/>
    </xf>
    <xf numFmtId="0" fontId="4" fillId="9" borderId="14" xfId="2" applyFont="1" applyFill="1" applyBorder="1" applyAlignment="1">
      <alignment horizontal="center"/>
    </xf>
    <xf numFmtId="166" fontId="4" fillId="9" borderId="14" xfId="2" applyNumberFormat="1" applyFont="1" applyFill="1" applyBorder="1" applyAlignment="1">
      <alignment horizontal="center"/>
    </xf>
    <xf numFmtId="1" fontId="4" fillId="9" borderId="14" xfId="2" applyNumberFormat="1" applyFont="1" applyFill="1" applyBorder="1" applyAlignment="1">
      <alignment horizontal="center"/>
    </xf>
    <xf numFmtId="0" fontId="4" fillId="9" borderId="15" xfId="2" applyFont="1" applyFill="1" applyBorder="1" applyAlignment="1">
      <alignment horizontal="center"/>
    </xf>
    <xf numFmtId="1" fontId="4" fillId="9" borderId="16" xfId="2" applyNumberFormat="1" applyFont="1" applyFill="1" applyBorder="1" applyAlignment="1">
      <alignment horizontal="center"/>
    </xf>
    <xf numFmtId="164" fontId="4" fillId="9" borderId="33" xfId="2" applyNumberFormat="1" applyFont="1" applyFill="1" applyBorder="1" applyAlignment="1">
      <alignment horizontal="center"/>
    </xf>
    <xf numFmtId="164" fontId="4" fillId="9" borderId="14" xfId="2" applyNumberFormat="1" applyFont="1" applyFill="1" applyBorder="1" applyAlignment="1">
      <alignment horizontal="center"/>
    </xf>
    <xf numFmtId="164" fontId="4" fillId="9" borderId="27" xfId="2" applyNumberFormat="1" applyFont="1" applyFill="1" applyBorder="1" applyAlignment="1">
      <alignment horizontal="center"/>
    </xf>
    <xf numFmtId="166" fontId="1" fillId="9" borderId="14" xfId="2" applyNumberFormat="1" applyFill="1" applyBorder="1" applyAlignment="1">
      <alignment horizontal="center"/>
    </xf>
    <xf numFmtId="1" fontId="1" fillId="9" borderId="14" xfId="2" applyNumberFormat="1" applyFill="1" applyBorder="1" applyAlignment="1">
      <alignment horizontal="center"/>
    </xf>
    <xf numFmtId="0" fontId="1" fillId="9" borderId="15" xfId="2" applyFill="1" applyBorder="1" applyAlignment="1">
      <alignment horizontal="center"/>
    </xf>
    <xf numFmtId="1" fontId="1" fillId="9" borderId="16" xfId="2" applyNumberFormat="1" applyFill="1" applyBorder="1" applyAlignment="1">
      <alignment horizontal="center"/>
    </xf>
    <xf numFmtId="164" fontId="1" fillId="9" borderId="33" xfId="2" applyNumberFormat="1" applyFill="1" applyBorder="1" applyAlignment="1">
      <alignment horizontal="center"/>
    </xf>
    <xf numFmtId="164" fontId="1" fillId="9" borderId="14" xfId="2" applyNumberFormat="1" applyFill="1" applyBorder="1" applyAlignment="1">
      <alignment horizontal="center"/>
    </xf>
    <xf numFmtId="164" fontId="1" fillId="9" borderId="27" xfId="2" applyNumberFormat="1" applyFill="1" applyBorder="1" applyAlignment="1">
      <alignment horizontal="center"/>
    </xf>
    <xf numFmtId="0" fontId="1" fillId="9" borderId="17" xfId="2" applyFill="1" applyBorder="1" applyAlignment="1">
      <alignment horizontal="center"/>
    </xf>
    <xf numFmtId="166" fontId="1" fillId="9" borderId="17" xfId="2" applyNumberFormat="1" applyFill="1" applyBorder="1" applyAlignment="1">
      <alignment horizontal="center"/>
    </xf>
    <xf numFmtId="1" fontId="1" fillId="9" borderId="17" xfId="2" applyNumberFormat="1" applyFill="1" applyBorder="1" applyAlignment="1">
      <alignment horizontal="center"/>
    </xf>
    <xf numFmtId="1" fontId="1" fillId="9" borderId="18" xfId="2" applyNumberFormat="1" applyFill="1" applyBorder="1" applyAlignment="1">
      <alignment horizontal="center"/>
    </xf>
    <xf numFmtId="164" fontId="1" fillId="9" borderId="34" xfId="2" applyNumberFormat="1" applyFill="1" applyBorder="1" applyAlignment="1">
      <alignment horizontal="center"/>
    </xf>
    <xf numFmtId="164" fontId="1" fillId="9" borderId="17" xfId="2" applyNumberFormat="1" applyFill="1" applyBorder="1" applyAlignment="1">
      <alignment horizontal="center"/>
    </xf>
    <xf numFmtId="164" fontId="1" fillId="9" borderId="29" xfId="2" applyNumberFormat="1" applyFill="1" applyBorder="1" applyAlignment="1">
      <alignment horizontal="center"/>
    </xf>
    <xf numFmtId="0" fontId="1" fillId="11" borderId="12" xfId="2" applyFill="1" applyBorder="1" applyAlignment="1">
      <alignment horizontal="center"/>
    </xf>
    <xf numFmtId="0" fontId="1" fillId="12" borderId="12" xfId="2" applyFill="1" applyBorder="1" applyAlignment="1">
      <alignment horizontal="center"/>
    </xf>
    <xf numFmtId="166" fontId="1" fillId="12" borderId="12" xfId="2" applyNumberFormat="1" applyFill="1" applyBorder="1" applyAlignment="1">
      <alignment horizontal="center" wrapText="1"/>
    </xf>
    <xf numFmtId="1" fontId="1" fillId="12" borderId="12" xfId="2" applyNumberFormat="1" applyFill="1" applyBorder="1" applyAlignment="1">
      <alignment horizontal="center" wrapText="1"/>
    </xf>
    <xf numFmtId="1" fontId="1" fillId="11" borderId="12" xfId="2" applyNumberFormat="1" applyFill="1" applyBorder="1" applyAlignment="1">
      <alignment horizontal="center"/>
    </xf>
    <xf numFmtId="164" fontId="1" fillId="11" borderId="32" xfId="2" applyNumberFormat="1" applyFill="1" applyBorder="1" applyAlignment="1">
      <alignment horizontal="center"/>
    </xf>
    <xf numFmtId="164" fontId="1" fillId="11" borderId="12" xfId="2" applyNumberFormat="1" applyFill="1" applyBorder="1" applyAlignment="1">
      <alignment horizontal="center"/>
    </xf>
    <xf numFmtId="164" fontId="1" fillId="11" borderId="13" xfId="2" applyNumberFormat="1" applyFill="1" applyBorder="1" applyAlignment="1">
      <alignment horizontal="center"/>
    </xf>
    <xf numFmtId="0" fontId="1" fillId="12" borderId="15" xfId="2" applyFill="1" applyBorder="1" applyAlignment="1">
      <alignment horizontal="center"/>
    </xf>
    <xf numFmtId="0" fontId="1" fillId="11" borderId="15" xfId="2" applyFill="1" applyBorder="1" applyAlignment="1">
      <alignment horizontal="center"/>
    </xf>
    <xf numFmtId="166" fontId="1" fillId="12" borderId="15" xfId="2" applyNumberFormat="1" applyFill="1" applyBorder="1" applyAlignment="1">
      <alignment horizontal="center" wrapText="1"/>
    </xf>
    <xf numFmtId="1" fontId="1" fillId="12" borderId="15" xfId="2" applyNumberFormat="1" applyFill="1" applyBorder="1" applyAlignment="1">
      <alignment horizontal="center" wrapText="1"/>
    </xf>
    <xf numFmtId="1" fontId="1" fillId="11" borderId="15" xfId="2" applyNumberFormat="1" applyFill="1" applyBorder="1" applyAlignment="1">
      <alignment horizontal="center"/>
    </xf>
    <xf numFmtId="164" fontId="1" fillId="11" borderId="35" xfId="2" applyNumberFormat="1" applyFill="1" applyBorder="1" applyAlignment="1">
      <alignment horizontal="center"/>
    </xf>
    <xf numFmtId="164" fontId="1" fillId="11" borderId="15" xfId="2" applyNumberFormat="1" applyFill="1" applyBorder="1" applyAlignment="1">
      <alignment horizontal="center"/>
    </xf>
    <xf numFmtId="164" fontId="1" fillId="11" borderId="27" xfId="2" applyNumberFormat="1" applyFill="1" applyBorder="1" applyAlignment="1">
      <alignment horizontal="center"/>
    </xf>
    <xf numFmtId="0" fontId="1" fillId="12" borderId="21" xfId="2" applyFill="1" applyBorder="1" applyAlignment="1">
      <alignment horizontal="center"/>
    </xf>
    <xf numFmtId="0" fontId="1" fillId="11" borderId="21" xfId="2" applyFill="1" applyBorder="1" applyAlignment="1">
      <alignment horizontal="center"/>
    </xf>
    <xf numFmtId="0" fontId="1" fillId="12" borderId="26" xfId="2" applyFill="1" applyBorder="1" applyAlignment="1">
      <alignment horizontal="center"/>
    </xf>
    <xf numFmtId="166" fontId="1" fillId="12" borderId="27" xfId="2" applyNumberFormat="1" applyFill="1" applyBorder="1" applyAlignment="1">
      <alignment horizontal="center" wrapText="1"/>
    </xf>
    <xf numFmtId="0" fontId="1" fillId="12" borderId="14" xfId="2" applyFill="1" applyBorder="1" applyAlignment="1">
      <alignment horizontal="center"/>
    </xf>
    <xf numFmtId="0" fontId="1" fillId="11" borderId="14" xfId="2" applyFill="1" applyBorder="1" applyAlignment="1">
      <alignment horizontal="center"/>
    </xf>
    <xf numFmtId="164" fontId="1" fillId="11" borderId="21" xfId="2" applyNumberFormat="1" applyFill="1" applyBorder="1" applyAlignment="1">
      <alignment horizontal="center"/>
    </xf>
    <xf numFmtId="164" fontId="1" fillId="11" borderId="28" xfId="2" applyNumberFormat="1" applyFill="1" applyBorder="1" applyAlignment="1">
      <alignment horizontal="center"/>
    </xf>
    <xf numFmtId="0" fontId="1" fillId="12" borderId="22" xfId="2" applyFill="1" applyBorder="1" applyAlignment="1">
      <alignment horizontal="center"/>
    </xf>
    <xf numFmtId="0" fontId="1" fillId="11" borderId="22" xfId="2" applyFill="1" applyBorder="1" applyAlignment="1">
      <alignment horizontal="center"/>
    </xf>
    <xf numFmtId="166" fontId="1" fillId="12" borderId="22" xfId="2" applyNumberFormat="1" applyFill="1" applyBorder="1" applyAlignment="1">
      <alignment horizontal="center" wrapText="1"/>
    </xf>
    <xf numFmtId="1" fontId="1" fillId="12" borderId="22" xfId="2" applyNumberFormat="1" applyFill="1" applyBorder="1" applyAlignment="1">
      <alignment horizontal="center" wrapText="1"/>
    </xf>
    <xf numFmtId="1" fontId="1" fillId="11" borderId="22" xfId="2" applyNumberFormat="1" applyFill="1" applyBorder="1" applyAlignment="1">
      <alignment horizontal="center"/>
    </xf>
    <xf numFmtId="164" fontId="1" fillId="11" borderId="36" xfId="2" applyNumberFormat="1" applyFill="1" applyBorder="1" applyAlignment="1">
      <alignment horizontal="center"/>
    </xf>
    <xf numFmtId="164" fontId="1" fillId="11" borderId="22" xfId="2" applyNumberFormat="1" applyFill="1" applyBorder="1" applyAlignment="1">
      <alignment horizontal="center"/>
    </xf>
    <xf numFmtId="164" fontId="1" fillId="11" borderId="29" xfId="2" applyNumberFormat="1" applyFill="1" applyBorder="1" applyAlignment="1">
      <alignment horizontal="center"/>
    </xf>
    <xf numFmtId="0" fontId="1" fillId="7" borderId="14" xfId="2" applyFill="1" applyBorder="1" applyAlignment="1">
      <alignment horizontal="center"/>
    </xf>
    <xf numFmtId="0" fontId="1" fillId="13" borderId="12" xfId="2" applyFill="1" applyBorder="1" applyAlignment="1">
      <alignment horizontal="center"/>
    </xf>
    <xf numFmtId="166" fontId="1" fillId="13" borderId="14" xfId="2" applyNumberFormat="1" applyFill="1" applyBorder="1" applyAlignment="1">
      <alignment horizontal="center" wrapText="1"/>
    </xf>
    <xf numFmtId="1" fontId="1" fillId="13" borderId="14" xfId="2" applyNumberFormat="1" applyFill="1" applyBorder="1" applyAlignment="1">
      <alignment horizontal="center" wrapText="1"/>
    </xf>
    <xf numFmtId="1" fontId="1" fillId="7" borderId="14" xfId="2" applyNumberFormat="1" applyFill="1" applyBorder="1" applyAlignment="1">
      <alignment horizontal="center"/>
    </xf>
    <xf numFmtId="164" fontId="1" fillId="7" borderId="33" xfId="2" applyNumberFormat="1" applyFill="1" applyBorder="1" applyAlignment="1">
      <alignment horizontal="center"/>
    </xf>
    <xf numFmtId="164" fontId="1" fillId="7" borderId="14" xfId="2" applyNumberFormat="1" applyFill="1" applyBorder="1" applyAlignment="1">
      <alignment horizontal="center"/>
    </xf>
    <xf numFmtId="164" fontId="1" fillId="7" borderId="13" xfId="2" applyNumberFormat="1" applyFill="1" applyBorder="1" applyAlignment="1">
      <alignment horizontal="center"/>
    </xf>
    <xf numFmtId="0" fontId="1" fillId="13" borderId="15" xfId="2" applyFill="1" applyBorder="1" applyAlignment="1">
      <alignment horizontal="center"/>
    </xf>
    <xf numFmtId="0" fontId="1" fillId="7" borderId="15" xfId="2" applyFill="1" applyBorder="1" applyAlignment="1">
      <alignment horizontal="center"/>
    </xf>
    <xf numFmtId="166" fontId="1" fillId="13" borderId="15" xfId="2" applyNumberFormat="1" applyFill="1" applyBorder="1" applyAlignment="1">
      <alignment horizontal="center" wrapText="1"/>
    </xf>
    <xf numFmtId="1" fontId="1" fillId="7" borderId="15" xfId="2" applyNumberFormat="1" applyFill="1" applyBorder="1" applyAlignment="1">
      <alignment horizontal="center"/>
    </xf>
    <xf numFmtId="164" fontId="1" fillId="7" borderId="35" xfId="2" applyNumberFormat="1" applyFill="1" applyBorder="1" applyAlignment="1">
      <alignment horizontal="center"/>
    </xf>
    <xf numFmtId="164" fontId="1" fillId="7" borderId="15" xfId="2" applyNumberFormat="1" applyFill="1" applyBorder="1" applyAlignment="1">
      <alignment horizontal="center"/>
    </xf>
    <xf numFmtId="164" fontId="1" fillId="7" borderId="27" xfId="2" applyNumberFormat="1" applyFill="1" applyBorder="1" applyAlignment="1">
      <alignment horizontal="center"/>
    </xf>
    <xf numFmtId="0" fontId="1" fillId="13" borderId="22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166" fontId="1" fillId="7" borderId="22" xfId="2" applyNumberFormat="1" applyFill="1" applyBorder="1" applyAlignment="1">
      <alignment horizontal="center"/>
    </xf>
    <xf numFmtId="1" fontId="1" fillId="7" borderId="22" xfId="2" applyNumberFormat="1" applyFill="1" applyBorder="1" applyAlignment="1">
      <alignment horizontal="center"/>
    </xf>
    <xf numFmtId="164" fontId="1" fillId="7" borderId="36" xfId="2" applyNumberFormat="1" applyFill="1" applyBorder="1" applyAlignment="1">
      <alignment horizontal="center"/>
    </xf>
    <xf numFmtId="164" fontId="1" fillId="7" borderId="22" xfId="2" applyNumberFormat="1" applyFill="1" applyBorder="1" applyAlignment="1">
      <alignment horizontal="center"/>
    </xf>
    <xf numFmtId="164" fontId="1" fillId="7" borderId="29" xfId="2" applyNumberFormat="1" applyFill="1" applyBorder="1" applyAlignment="1">
      <alignment horizontal="center"/>
    </xf>
    <xf numFmtId="0" fontId="1" fillId="6" borderId="14" xfId="2" applyFill="1" applyBorder="1" applyAlignment="1">
      <alignment horizontal="center"/>
    </xf>
    <xf numFmtId="0" fontId="1" fillId="4" borderId="14" xfId="2" applyFill="1" applyBorder="1" applyAlignment="1">
      <alignment horizontal="center"/>
    </xf>
    <xf numFmtId="166" fontId="1" fillId="4" borderId="14" xfId="2" applyNumberFormat="1" applyFill="1" applyBorder="1" applyAlignment="1">
      <alignment horizontal="center"/>
    </xf>
    <xf numFmtId="1" fontId="1" fillId="4" borderId="14" xfId="2" applyNumberFormat="1" applyFill="1" applyBorder="1" applyAlignment="1">
      <alignment horizontal="center"/>
    </xf>
    <xf numFmtId="164" fontId="1" fillId="4" borderId="33" xfId="2" applyNumberFormat="1" applyFill="1" applyBorder="1" applyAlignment="1">
      <alignment horizontal="center"/>
    </xf>
    <xf numFmtId="164" fontId="1" fillId="4" borderId="14" xfId="2" applyNumberFormat="1" applyFill="1" applyBorder="1" applyAlignment="1">
      <alignment horizontal="center"/>
    </xf>
    <xf numFmtId="164" fontId="1" fillId="4" borderId="13" xfId="2" applyNumberFormat="1" applyFill="1" applyBorder="1" applyAlignment="1">
      <alignment horizontal="center"/>
    </xf>
    <xf numFmtId="0" fontId="1" fillId="6" borderId="15" xfId="2" applyFill="1" applyBorder="1" applyAlignment="1">
      <alignment horizontal="center"/>
    </xf>
    <xf numFmtId="0" fontId="1" fillId="4" borderId="15" xfId="2" applyFill="1" applyBorder="1" applyAlignment="1">
      <alignment horizontal="center"/>
    </xf>
    <xf numFmtId="166" fontId="1" fillId="4" borderId="15" xfId="2" applyNumberFormat="1" applyFill="1" applyBorder="1" applyAlignment="1">
      <alignment horizontal="center"/>
    </xf>
    <xf numFmtId="1" fontId="1" fillId="4" borderId="15" xfId="2" applyNumberFormat="1" applyFill="1" applyBorder="1" applyAlignment="1">
      <alignment horizontal="center"/>
    </xf>
    <xf numFmtId="164" fontId="1" fillId="4" borderId="35" xfId="2" applyNumberFormat="1" applyFill="1" applyBorder="1" applyAlignment="1">
      <alignment horizontal="center"/>
    </xf>
    <xf numFmtId="164" fontId="1" fillId="4" borderId="15" xfId="2" applyNumberFormat="1" applyFill="1" applyBorder="1" applyAlignment="1">
      <alignment horizontal="center"/>
    </xf>
    <xf numFmtId="164" fontId="1" fillId="4" borderId="27" xfId="2" applyNumberFormat="1" applyFill="1" applyBorder="1" applyAlignment="1">
      <alignment horizontal="center"/>
    </xf>
    <xf numFmtId="166" fontId="1" fillId="3" borderId="15" xfId="2" applyNumberFormat="1" applyFill="1" applyBorder="1" applyAlignment="1">
      <alignment horizontal="center" wrapText="1"/>
    </xf>
    <xf numFmtId="1" fontId="1" fillId="3" borderId="15" xfId="2" applyNumberFormat="1" applyFill="1" applyBorder="1" applyAlignment="1">
      <alignment horizontal="center" wrapText="1"/>
    </xf>
    <xf numFmtId="0" fontId="1" fillId="6" borderId="21" xfId="2" applyFill="1" applyBorder="1" applyAlignment="1">
      <alignment horizontal="center"/>
    </xf>
    <xf numFmtId="0" fontId="1" fillId="6" borderId="22" xfId="2" applyFill="1" applyBorder="1" applyAlignment="1">
      <alignment horizontal="center"/>
    </xf>
    <xf numFmtId="0" fontId="1" fillId="4" borderId="21" xfId="2" applyFill="1" applyBorder="1" applyAlignment="1">
      <alignment horizontal="center"/>
    </xf>
    <xf numFmtId="166" fontId="1" fillId="3" borderId="21" xfId="2" applyNumberFormat="1" applyFill="1" applyBorder="1" applyAlignment="1">
      <alignment horizontal="center" wrapText="1"/>
    </xf>
    <xf numFmtId="1" fontId="1" fillId="3" borderId="21" xfId="2" applyNumberFormat="1" applyFill="1" applyBorder="1" applyAlignment="1">
      <alignment horizontal="center" wrapText="1"/>
    </xf>
    <xf numFmtId="1" fontId="1" fillId="4" borderId="21" xfId="2" applyNumberFormat="1" applyFill="1" applyBorder="1" applyAlignment="1">
      <alignment horizontal="center"/>
    </xf>
    <xf numFmtId="164" fontId="1" fillId="4" borderId="37" xfId="2" applyNumberFormat="1" applyFill="1" applyBorder="1" applyAlignment="1">
      <alignment horizontal="center"/>
    </xf>
    <xf numFmtId="164" fontId="1" fillId="4" borderId="21" xfId="2" applyNumberFormat="1" applyFill="1" applyBorder="1" applyAlignment="1">
      <alignment horizontal="center"/>
    </xf>
    <xf numFmtId="164" fontId="1" fillId="4" borderId="29" xfId="2" applyNumberFormat="1" applyFill="1" applyBorder="1" applyAlignment="1">
      <alignment horizontal="center"/>
    </xf>
    <xf numFmtId="0" fontId="1" fillId="14" borderId="12" xfId="2" applyFill="1" applyBorder="1" applyAlignment="1">
      <alignment horizontal="center"/>
    </xf>
    <xf numFmtId="0" fontId="1" fillId="15" borderId="14" xfId="2" applyFill="1" applyBorder="1" applyAlignment="1">
      <alignment horizontal="center"/>
    </xf>
    <xf numFmtId="0" fontId="1" fillId="16" borderId="12" xfId="2" applyFill="1" applyBorder="1" applyAlignment="1">
      <alignment horizontal="center"/>
    </xf>
    <xf numFmtId="166" fontId="1" fillId="15" borderId="12" xfId="2" applyNumberFormat="1" applyFill="1" applyBorder="1" applyAlignment="1">
      <alignment horizontal="center" wrapText="1"/>
    </xf>
    <xf numFmtId="1" fontId="1" fillId="15" borderId="12" xfId="2" applyNumberFormat="1" applyFill="1" applyBorder="1" applyAlignment="1">
      <alignment horizontal="center" wrapText="1"/>
    </xf>
    <xf numFmtId="1" fontId="1" fillId="16" borderId="12" xfId="2" applyNumberFormat="1" applyFill="1" applyBorder="1" applyAlignment="1">
      <alignment horizontal="center"/>
    </xf>
    <xf numFmtId="164" fontId="1" fillId="16" borderId="32" xfId="2" applyNumberFormat="1" applyFill="1" applyBorder="1" applyAlignment="1">
      <alignment horizontal="center"/>
    </xf>
    <xf numFmtId="164" fontId="1" fillId="16" borderId="12" xfId="2" applyNumberFormat="1" applyFill="1" applyBorder="1" applyAlignment="1">
      <alignment horizontal="center"/>
    </xf>
    <xf numFmtId="164" fontId="1" fillId="16" borderId="13" xfId="2" applyNumberFormat="1" applyFill="1" applyBorder="1" applyAlignment="1">
      <alignment horizontal="center"/>
    </xf>
    <xf numFmtId="0" fontId="1" fillId="14" borderId="15" xfId="2" applyFill="1" applyBorder="1" applyAlignment="1">
      <alignment horizontal="center"/>
    </xf>
    <xf numFmtId="0" fontId="1" fillId="16" borderId="15" xfId="2" applyFill="1" applyBorder="1" applyAlignment="1">
      <alignment horizontal="center"/>
    </xf>
    <xf numFmtId="166" fontId="1" fillId="15" borderId="15" xfId="2" applyNumberFormat="1" applyFill="1" applyBorder="1" applyAlignment="1">
      <alignment horizontal="center" wrapText="1"/>
    </xf>
    <xf numFmtId="1" fontId="1" fillId="15" borderId="15" xfId="2" applyNumberFormat="1" applyFill="1" applyBorder="1" applyAlignment="1">
      <alignment horizontal="center" wrapText="1"/>
    </xf>
    <xf numFmtId="1" fontId="1" fillId="16" borderId="15" xfId="2" applyNumberFormat="1" applyFill="1" applyBorder="1" applyAlignment="1">
      <alignment horizontal="center"/>
    </xf>
    <xf numFmtId="164" fontId="1" fillId="16" borderId="35" xfId="2" applyNumberFormat="1" applyFill="1" applyBorder="1" applyAlignment="1">
      <alignment horizontal="center"/>
    </xf>
    <xf numFmtId="164" fontId="1" fillId="16" borderId="15" xfId="2" applyNumberFormat="1" applyFill="1" applyBorder="1" applyAlignment="1">
      <alignment horizontal="center"/>
    </xf>
    <xf numFmtId="164" fontId="1" fillId="16" borderId="27" xfId="2" applyNumberFormat="1" applyFill="1" applyBorder="1" applyAlignment="1">
      <alignment horizontal="center"/>
    </xf>
    <xf numFmtId="0" fontId="1" fillId="14" borderId="22" xfId="2" applyFill="1" applyBorder="1" applyAlignment="1">
      <alignment horizontal="center"/>
    </xf>
    <xf numFmtId="0" fontId="1" fillId="15" borderId="21" xfId="2" applyFill="1" applyBorder="1" applyAlignment="1">
      <alignment horizontal="center"/>
    </xf>
    <xf numFmtId="0" fontId="1" fillId="16" borderId="22" xfId="2" applyFill="1" applyBorder="1" applyAlignment="1">
      <alignment horizontal="center"/>
    </xf>
    <xf numFmtId="166" fontId="1" fillId="15" borderId="22" xfId="2" applyNumberFormat="1" applyFill="1" applyBorder="1" applyAlignment="1">
      <alignment horizontal="center" wrapText="1"/>
    </xf>
    <xf numFmtId="1" fontId="1" fillId="15" borderId="22" xfId="2" applyNumberFormat="1" applyFill="1" applyBorder="1" applyAlignment="1">
      <alignment horizontal="center" wrapText="1"/>
    </xf>
    <xf numFmtId="1" fontId="1" fillId="16" borderId="22" xfId="2" applyNumberFormat="1" applyFill="1" applyBorder="1" applyAlignment="1">
      <alignment horizontal="center"/>
    </xf>
    <xf numFmtId="164" fontId="1" fillId="16" borderId="36" xfId="2" applyNumberFormat="1" applyFill="1" applyBorder="1" applyAlignment="1">
      <alignment horizontal="center"/>
    </xf>
    <xf numFmtId="164" fontId="1" fillId="16" borderId="22" xfId="2" applyNumberFormat="1" applyFill="1" applyBorder="1" applyAlignment="1">
      <alignment horizontal="center"/>
    </xf>
    <xf numFmtId="164" fontId="1" fillId="16" borderId="29" xfId="2" applyNumberFormat="1" applyFill="1" applyBorder="1" applyAlignment="1">
      <alignment horizontal="center"/>
    </xf>
    <xf numFmtId="0" fontId="1" fillId="17" borderId="14" xfId="2" applyFill="1" applyBorder="1" applyAlignment="1">
      <alignment horizontal="center"/>
    </xf>
    <xf numFmtId="0" fontId="1" fillId="18" borderId="12" xfId="2" applyFill="1" applyBorder="1" applyAlignment="1">
      <alignment horizontal="center"/>
    </xf>
    <xf numFmtId="0" fontId="1" fillId="19" borderId="14" xfId="2" applyFill="1" applyBorder="1" applyAlignment="1">
      <alignment horizontal="center"/>
    </xf>
    <xf numFmtId="166" fontId="1" fillId="18" borderId="14" xfId="2" applyNumberFormat="1" applyFill="1" applyBorder="1" applyAlignment="1">
      <alignment horizontal="center" wrapText="1"/>
    </xf>
    <xf numFmtId="1" fontId="1" fillId="18" borderId="14" xfId="2" applyNumberFormat="1" applyFill="1" applyBorder="1" applyAlignment="1">
      <alignment horizontal="center" wrapText="1"/>
    </xf>
    <xf numFmtId="0" fontId="1" fillId="18" borderId="15" xfId="2" applyFill="1" applyBorder="1" applyAlignment="1">
      <alignment horizontal="center" wrapText="1"/>
    </xf>
    <xf numFmtId="1" fontId="1" fillId="19" borderId="14" xfId="2" applyNumberFormat="1" applyFill="1" applyBorder="1" applyAlignment="1">
      <alignment horizontal="center"/>
    </xf>
    <xf numFmtId="164" fontId="1" fillId="19" borderId="33" xfId="2" applyNumberFormat="1" applyFill="1" applyBorder="1" applyAlignment="1">
      <alignment horizontal="center"/>
    </xf>
    <xf numFmtId="164" fontId="1" fillId="19" borderId="14" xfId="2" applyNumberFormat="1" applyFill="1" applyBorder="1" applyAlignment="1">
      <alignment horizontal="center"/>
    </xf>
    <xf numFmtId="164" fontId="1" fillId="19" borderId="13" xfId="2" applyNumberFormat="1" applyFill="1" applyBorder="1" applyAlignment="1">
      <alignment horizontal="center"/>
    </xf>
    <xf numFmtId="0" fontId="1" fillId="17" borderId="15" xfId="2" applyFill="1" applyBorder="1" applyAlignment="1">
      <alignment horizontal="center"/>
    </xf>
    <xf numFmtId="0" fontId="1" fillId="18" borderId="15" xfId="2" applyFill="1" applyBorder="1" applyAlignment="1">
      <alignment horizontal="center"/>
    </xf>
    <xf numFmtId="0" fontId="1" fillId="19" borderId="15" xfId="2" applyFill="1" applyBorder="1" applyAlignment="1">
      <alignment horizontal="center"/>
    </xf>
    <xf numFmtId="166" fontId="1" fillId="18" borderId="15" xfId="2" applyNumberFormat="1" applyFill="1" applyBorder="1" applyAlignment="1">
      <alignment horizontal="center" wrapText="1"/>
    </xf>
    <xf numFmtId="1" fontId="1" fillId="18" borderId="15" xfId="2" applyNumberFormat="1" applyFill="1" applyBorder="1" applyAlignment="1">
      <alignment horizontal="center" wrapText="1"/>
    </xf>
    <xf numFmtId="1" fontId="1" fillId="19" borderId="15" xfId="2" applyNumberFormat="1" applyFill="1" applyBorder="1" applyAlignment="1">
      <alignment horizontal="center"/>
    </xf>
    <xf numFmtId="164" fontId="1" fillId="19" borderId="35" xfId="2" applyNumberFormat="1" applyFill="1" applyBorder="1" applyAlignment="1">
      <alignment horizontal="center"/>
    </xf>
    <xf numFmtId="164" fontId="1" fillId="19" borderId="15" xfId="2" applyNumberFormat="1" applyFill="1" applyBorder="1" applyAlignment="1">
      <alignment horizontal="center"/>
    </xf>
    <xf numFmtId="164" fontId="1" fillId="19" borderId="27" xfId="2" applyNumberFormat="1" applyFill="1" applyBorder="1" applyAlignment="1">
      <alignment horizontal="center"/>
    </xf>
    <xf numFmtId="0" fontId="1" fillId="20" borderId="15" xfId="2" applyFill="1" applyBorder="1" applyAlignment="1">
      <alignment horizontal="center"/>
    </xf>
    <xf numFmtId="0" fontId="1" fillId="21" borderId="15" xfId="2" applyFill="1" applyBorder="1" applyAlignment="1">
      <alignment horizontal="center"/>
    </xf>
    <xf numFmtId="166" fontId="1" fillId="20" borderId="15" xfId="2" applyNumberFormat="1" applyFill="1" applyBorder="1" applyAlignment="1">
      <alignment horizontal="center" wrapText="1"/>
    </xf>
    <xf numFmtId="1" fontId="1" fillId="20" borderId="15" xfId="2" applyNumberFormat="1" applyFill="1" applyBorder="1" applyAlignment="1">
      <alignment horizontal="center" wrapText="1"/>
    </xf>
    <xf numFmtId="165" fontId="1" fillId="20" borderId="15" xfId="2" applyNumberFormat="1" applyFill="1" applyBorder="1" applyAlignment="1">
      <alignment horizontal="center" wrapText="1"/>
    </xf>
    <xf numFmtId="164" fontId="1" fillId="21" borderId="35" xfId="2" applyNumberFormat="1" applyFill="1" applyBorder="1" applyAlignment="1">
      <alignment horizontal="center"/>
    </xf>
    <xf numFmtId="164" fontId="1" fillId="21" borderId="15" xfId="2" applyNumberFormat="1" applyFill="1" applyBorder="1" applyAlignment="1">
      <alignment horizontal="center"/>
    </xf>
    <xf numFmtId="164" fontId="1" fillId="21" borderId="27" xfId="2" applyNumberFormat="1" applyFill="1" applyBorder="1" applyAlignment="1">
      <alignment horizontal="center"/>
    </xf>
    <xf numFmtId="164" fontId="1" fillId="18" borderId="35" xfId="2" applyNumberFormat="1" applyFill="1" applyBorder="1" applyAlignment="1">
      <alignment horizontal="center" wrapText="1"/>
    </xf>
    <xf numFmtId="164" fontId="1" fillId="18" borderId="21" xfId="2" applyNumberFormat="1" applyFill="1" applyBorder="1" applyAlignment="1">
      <alignment horizontal="center" wrapText="1"/>
    </xf>
    <xf numFmtId="164" fontId="1" fillId="18" borderId="29" xfId="2" applyNumberFormat="1" applyFill="1" applyBorder="1" applyAlignment="1">
      <alignment horizontal="center" wrapText="1"/>
    </xf>
    <xf numFmtId="0" fontId="1" fillId="22" borderId="12" xfId="2" applyFill="1" applyBorder="1" applyAlignment="1">
      <alignment horizontal="center"/>
    </xf>
    <xf numFmtId="0" fontId="1" fillId="22" borderId="12" xfId="2" applyFill="1" applyBorder="1" applyAlignment="1">
      <alignment horizontal="center" wrapText="1"/>
    </xf>
    <xf numFmtId="0" fontId="1" fillId="23" borderId="12" xfId="2" applyFill="1" applyBorder="1" applyAlignment="1">
      <alignment horizontal="center"/>
    </xf>
    <xf numFmtId="166" fontId="1" fillId="22" borderId="12" xfId="2" applyNumberFormat="1" applyFill="1" applyBorder="1" applyAlignment="1">
      <alignment horizontal="center" wrapText="1"/>
    </xf>
    <xf numFmtId="1" fontId="1" fillId="22" borderId="12" xfId="2" applyNumberFormat="1" applyFill="1" applyBorder="1" applyAlignment="1">
      <alignment horizontal="center" wrapText="1"/>
    </xf>
    <xf numFmtId="1" fontId="1" fillId="23" borderId="12" xfId="2" applyNumberFormat="1" applyFill="1" applyBorder="1" applyAlignment="1">
      <alignment horizontal="center"/>
    </xf>
    <xf numFmtId="164" fontId="1" fillId="23" borderId="32" xfId="2" applyNumberFormat="1" applyFill="1" applyBorder="1" applyAlignment="1">
      <alignment horizontal="center"/>
    </xf>
    <xf numFmtId="164" fontId="1" fillId="23" borderId="12" xfId="2" applyNumberFormat="1" applyFill="1" applyBorder="1" applyAlignment="1">
      <alignment horizontal="center"/>
    </xf>
    <xf numFmtId="164" fontId="1" fillId="23" borderId="13" xfId="2" applyNumberFormat="1" applyFill="1" applyBorder="1" applyAlignment="1">
      <alignment horizontal="center"/>
    </xf>
    <xf numFmtId="0" fontId="1" fillId="22" borderId="15" xfId="2" applyFill="1" applyBorder="1" applyAlignment="1">
      <alignment horizontal="center"/>
    </xf>
    <xf numFmtId="0" fontId="1" fillId="22" borderId="14" xfId="2" applyFill="1" applyBorder="1" applyAlignment="1">
      <alignment horizontal="center" wrapText="1"/>
    </xf>
    <xf numFmtId="0" fontId="1" fillId="23" borderId="14" xfId="2" applyFill="1" applyBorder="1" applyAlignment="1">
      <alignment horizontal="center"/>
    </xf>
    <xf numFmtId="166" fontId="1" fillId="22" borderId="14" xfId="2" applyNumberFormat="1" applyFill="1" applyBorder="1" applyAlignment="1">
      <alignment horizontal="center" wrapText="1"/>
    </xf>
    <xf numFmtId="1" fontId="1" fillId="22" borderId="14" xfId="2" applyNumberFormat="1" applyFill="1" applyBorder="1" applyAlignment="1">
      <alignment horizontal="center" wrapText="1"/>
    </xf>
    <xf numFmtId="1" fontId="1" fillId="23" borderId="14" xfId="2" applyNumberFormat="1" applyFill="1" applyBorder="1" applyAlignment="1">
      <alignment horizontal="center"/>
    </xf>
    <xf numFmtId="164" fontId="1" fillId="23" borderId="33" xfId="2" applyNumberFormat="1" applyFill="1" applyBorder="1" applyAlignment="1">
      <alignment horizontal="center"/>
    </xf>
    <xf numFmtId="164" fontId="1" fillId="23" borderId="14" xfId="2" applyNumberFormat="1" applyFill="1" applyBorder="1" applyAlignment="1">
      <alignment horizontal="center"/>
    </xf>
    <xf numFmtId="164" fontId="1" fillId="23" borderId="27" xfId="2" applyNumberFormat="1" applyFill="1" applyBorder="1" applyAlignment="1">
      <alignment horizontal="center"/>
    </xf>
    <xf numFmtId="0" fontId="1" fillId="25" borderId="15" xfId="2" applyFill="1" applyBorder="1" applyAlignment="1">
      <alignment horizontal="center"/>
    </xf>
    <xf numFmtId="0" fontId="1" fillId="25" borderId="15" xfId="2" applyFill="1" applyBorder="1" applyAlignment="1">
      <alignment horizontal="center" wrapText="1"/>
    </xf>
    <xf numFmtId="0" fontId="1" fillId="24" borderId="15" xfId="2" applyFill="1" applyBorder="1" applyAlignment="1">
      <alignment horizontal="center"/>
    </xf>
    <xf numFmtId="166" fontId="1" fillId="25" borderId="14" xfId="2" applyNumberFormat="1" applyFill="1" applyBorder="1" applyAlignment="1">
      <alignment horizontal="center" wrapText="1"/>
    </xf>
    <xf numFmtId="1" fontId="1" fillId="25" borderId="15" xfId="2" applyNumberFormat="1" applyFill="1" applyBorder="1" applyAlignment="1">
      <alignment horizontal="center" wrapText="1"/>
    </xf>
    <xf numFmtId="0" fontId="1" fillId="24" borderId="14" xfId="2" applyFill="1" applyBorder="1" applyAlignment="1">
      <alignment horizontal="center"/>
    </xf>
    <xf numFmtId="1" fontId="1" fillId="24" borderId="15" xfId="2" applyNumberFormat="1" applyFill="1" applyBorder="1" applyAlignment="1">
      <alignment horizontal="center"/>
    </xf>
    <xf numFmtId="164" fontId="1" fillId="24" borderId="35" xfId="2" applyNumberFormat="1" applyFill="1" applyBorder="1" applyAlignment="1">
      <alignment horizontal="center"/>
    </xf>
    <xf numFmtId="164" fontId="1" fillId="24" borderId="15" xfId="2" applyNumberFormat="1" applyFill="1" applyBorder="1" applyAlignment="1">
      <alignment horizontal="center"/>
    </xf>
    <xf numFmtId="164" fontId="1" fillId="24" borderId="27" xfId="2" applyNumberFormat="1" applyFill="1" applyBorder="1" applyAlignment="1">
      <alignment horizontal="center"/>
    </xf>
    <xf numFmtId="166" fontId="1" fillId="25" borderId="15" xfId="2" applyNumberFormat="1" applyFill="1" applyBorder="1" applyAlignment="1">
      <alignment horizontal="center" wrapText="1"/>
    </xf>
    <xf numFmtId="0" fontId="1" fillId="25" borderId="22" xfId="2" applyFill="1" applyBorder="1" applyAlignment="1">
      <alignment horizontal="center"/>
    </xf>
    <xf numFmtId="0" fontId="1" fillId="25" borderId="22" xfId="2" applyFill="1" applyBorder="1" applyAlignment="1">
      <alignment horizontal="center" wrapText="1"/>
    </xf>
    <xf numFmtId="0" fontId="1" fillId="24" borderId="22" xfId="2" applyFill="1" applyBorder="1" applyAlignment="1">
      <alignment horizontal="center"/>
    </xf>
    <xf numFmtId="166" fontId="1" fillId="25" borderId="22" xfId="2" applyNumberFormat="1" applyFill="1" applyBorder="1" applyAlignment="1">
      <alignment horizontal="center" wrapText="1"/>
    </xf>
    <xf numFmtId="1" fontId="1" fillId="25" borderId="22" xfId="2" applyNumberFormat="1" applyFill="1" applyBorder="1" applyAlignment="1">
      <alignment horizontal="center" wrapText="1"/>
    </xf>
    <xf numFmtId="1" fontId="1" fillId="24" borderId="22" xfId="2" applyNumberFormat="1" applyFill="1" applyBorder="1" applyAlignment="1">
      <alignment horizontal="center"/>
    </xf>
    <xf numFmtId="164" fontId="1" fillId="24" borderId="36" xfId="2" applyNumberFormat="1" applyFill="1" applyBorder="1" applyAlignment="1">
      <alignment horizontal="center"/>
    </xf>
    <xf numFmtId="164" fontId="1" fillId="24" borderId="22" xfId="2" applyNumberFormat="1" applyFill="1" applyBorder="1" applyAlignment="1">
      <alignment horizontal="center"/>
    </xf>
    <xf numFmtId="164" fontId="1" fillId="24" borderId="29" xfId="2" applyNumberFormat="1" applyFill="1" applyBorder="1" applyAlignment="1">
      <alignment horizontal="center"/>
    </xf>
    <xf numFmtId="1" fontId="4" fillId="9" borderId="32" xfId="2" applyNumberFormat="1" applyFont="1" applyFill="1" applyBorder="1" applyAlignment="1">
      <alignment horizontal="center"/>
    </xf>
    <xf numFmtId="1" fontId="4" fillId="9" borderId="33" xfId="2" applyNumberFormat="1" applyFont="1" applyFill="1" applyBorder="1" applyAlignment="1">
      <alignment horizontal="center"/>
    </xf>
    <xf numFmtId="1" fontId="1" fillId="9" borderId="33" xfId="2" applyNumberFormat="1" applyFill="1" applyBorder="1" applyAlignment="1">
      <alignment horizontal="center"/>
    </xf>
    <xf numFmtId="1" fontId="1" fillId="9" borderId="34" xfId="2" applyNumberFormat="1" applyFill="1" applyBorder="1" applyAlignment="1">
      <alignment horizontal="center"/>
    </xf>
    <xf numFmtId="1" fontId="1" fillId="11" borderId="32" xfId="2" applyNumberFormat="1" applyFill="1" applyBorder="1" applyAlignment="1">
      <alignment horizontal="center"/>
    </xf>
    <xf numFmtId="1" fontId="1" fillId="11" borderId="35" xfId="2" applyNumberFormat="1" applyFill="1" applyBorder="1" applyAlignment="1">
      <alignment horizontal="center"/>
    </xf>
    <xf numFmtId="1" fontId="1" fillId="11" borderId="36" xfId="2" applyNumberFormat="1" applyFill="1" applyBorder="1" applyAlignment="1">
      <alignment horizontal="center"/>
    </xf>
    <xf numFmtId="1" fontId="1" fillId="7" borderId="33" xfId="2" applyNumberFormat="1" applyFill="1" applyBorder="1" applyAlignment="1">
      <alignment horizontal="center"/>
    </xf>
    <xf numFmtId="1" fontId="1" fillId="7" borderId="35" xfId="2" applyNumberFormat="1" applyFill="1" applyBorder="1" applyAlignment="1">
      <alignment horizontal="center"/>
    </xf>
    <xf numFmtId="1" fontId="1" fillId="7" borderId="36" xfId="2" applyNumberFormat="1" applyFill="1" applyBorder="1" applyAlignment="1">
      <alignment horizontal="center"/>
    </xf>
    <xf numFmtId="1" fontId="1" fillId="4" borderId="33" xfId="2" applyNumberFormat="1" applyFill="1" applyBorder="1" applyAlignment="1">
      <alignment horizontal="center"/>
    </xf>
    <xf numFmtId="1" fontId="1" fillId="4" borderId="35" xfId="2" applyNumberFormat="1" applyFill="1" applyBorder="1" applyAlignment="1">
      <alignment horizontal="center"/>
    </xf>
    <xf numFmtId="1" fontId="1" fillId="4" borderId="37" xfId="2" applyNumberFormat="1" applyFill="1" applyBorder="1" applyAlignment="1">
      <alignment horizontal="center"/>
    </xf>
    <xf numFmtId="1" fontId="1" fillId="16" borderId="32" xfId="2" applyNumberFormat="1" applyFill="1" applyBorder="1" applyAlignment="1">
      <alignment horizontal="center"/>
    </xf>
    <xf numFmtId="1" fontId="1" fillId="16" borderId="35" xfId="2" applyNumberFormat="1" applyFill="1" applyBorder="1" applyAlignment="1">
      <alignment horizontal="center"/>
    </xf>
    <xf numFmtId="1" fontId="1" fillId="16" borderId="36" xfId="2" applyNumberFormat="1" applyFill="1" applyBorder="1" applyAlignment="1">
      <alignment horizontal="center"/>
    </xf>
    <xf numFmtId="1" fontId="1" fillId="19" borderId="33" xfId="2" applyNumberFormat="1" applyFill="1" applyBorder="1" applyAlignment="1">
      <alignment horizontal="center"/>
    </xf>
    <xf numFmtId="1" fontId="1" fillId="19" borderId="35" xfId="2" applyNumberFormat="1" applyFill="1" applyBorder="1" applyAlignment="1">
      <alignment horizontal="center"/>
    </xf>
    <xf numFmtId="1" fontId="1" fillId="21" borderId="15" xfId="2" applyNumberFormat="1" applyFill="1" applyBorder="1" applyAlignment="1">
      <alignment horizontal="center"/>
    </xf>
    <xf numFmtId="1" fontId="1" fillId="21" borderId="35" xfId="2" applyNumberFormat="1" applyFill="1" applyBorder="1" applyAlignment="1">
      <alignment horizontal="center"/>
    </xf>
    <xf numFmtId="1" fontId="1" fillId="18" borderId="35" xfId="2" applyNumberFormat="1" applyFill="1" applyBorder="1" applyAlignment="1">
      <alignment horizontal="center" wrapText="1"/>
    </xf>
    <xf numFmtId="1" fontId="1" fillId="23" borderId="32" xfId="2" applyNumberFormat="1" applyFill="1" applyBorder="1" applyAlignment="1">
      <alignment horizontal="center"/>
    </xf>
    <xf numFmtId="1" fontId="1" fillId="23" borderId="33" xfId="2" applyNumberFormat="1" applyFill="1" applyBorder="1" applyAlignment="1">
      <alignment horizontal="center"/>
    </xf>
    <xf numFmtId="1" fontId="1" fillId="24" borderId="35" xfId="2" applyNumberFormat="1" applyFill="1" applyBorder="1" applyAlignment="1">
      <alignment horizontal="center"/>
    </xf>
    <xf numFmtId="1" fontId="1" fillId="24" borderId="36" xfId="2" applyNumberFormat="1" applyFill="1" applyBorder="1" applyAlignment="1">
      <alignment horizontal="center"/>
    </xf>
    <xf numFmtId="1" fontId="4" fillId="9" borderId="13" xfId="2" applyNumberFormat="1" applyFont="1" applyFill="1" applyBorder="1" applyAlignment="1">
      <alignment horizontal="center"/>
    </xf>
    <xf numFmtId="1" fontId="4" fillId="9" borderId="27" xfId="2" applyNumberFormat="1" applyFont="1" applyFill="1" applyBorder="1" applyAlignment="1">
      <alignment horizontal="center"/>
    </xf>
    <xf numFmtId="1" fontId="1" fillId="9" borderId="27" xfId="2" applyNumberFormat="1" applyFill="1" applyBorder="1" applyAlignment="1">
      <alignment horizontal="center"/>
    </xf>
    <xf numFmtId="1" fontId="1" fillId="9" borderId="29" xfId="2" applyNumberFormat="1" applyFill="1" applyBorder="1" applyAlignment="1">
      <alignment horizontal="center"/>
    </xf>
    <xf numFmtId="1" fontId="1" fillId="11" borderId="13" xfId="2" applyNumberFormat="1" applyFill="1" applyBorder="1" applyAlignment="1">
      <alignment horizontal="center"/>
    </xf>
    <xf numFmtId="1" fontId="1" fillId="11" borderId="27" xfId="2" applyNumberFormat="1" applyFill="1" applyBorder="1" applyAlignment="1">
      <alignment horizontal="center"/>
    </xf>
    <xf numFmtId="1" fontId="1" fillId="11" borderId="28" xfId="2" applyNumberFormat="1" applyFill="1" applyBorder="1" applyAlignment="1">
      <alignment horizontal="center"/>
    </xf>
    <xf numFmtId="1" fontId="1" fillId="11" borderId="29" xfId="2" applyNumberFormat="1" applyFill="1" applyBorder="1" applyAlignment="1">
      <alignment horizontal="center"/>
    </xf>
    <xf numFmtId="1" fontId="1" fillId="7" borderId="13" xfId="2" applyNumberFormat="1" applyFill="1" applyBorder="1" applyAlignment="1">
      <alignment horizontal="center"/>
    </xf>
    <xf numFmtId="1" fontId="1" fillId="7" borderId="27" xfId="2" applyNumberFormat="1" applyFill="1" applyBorder="1" applyAlignment="1">
      <alignment horizontal="center"/>
    </xf>
    <xf numFmtId="1" fontId="1" fillId="7" borderId="29" xfId="2" applyNumberFormat="1" applyFill="1" applyBorder="1" applyAlignment="1">
      <alignment horizontal="center"/>
    </xf>
    <xf numFmtId="1" fontId="1" fillId="4" borderId="13" xfId="2" applyNumberFormat="1" applyFill="1" applyBorder="1" applyAlignment="1">
      <alignment horizontal="center"/>
    </xf>
    <xf numFmtId="1" fontId="1" fillId="4" borderId="27" xfId="2" applyNumberFormat="1" applyFill="1" applyBorder="1" applyAlignment="1">
      <alignment horizontal="center"/>
    </xf>
    <xf numFmtId="1" fontId="1" fillId="4" borderId="29" xfId="2" applyNumberFormat="1" applyFill="1" applyBorder="1" applyAlignment="1">
      <alignment horizontal="center"/>
    </xf>
    <xf numFmtId="1" fontId="1" fillId="16" borderId="13" xfId="2" applyNumberFormat="1" applyFill="1" applyBorder="1" applyAlignment="1">
      <alignment horizontal="center"/>
    </xf>
    <xf numFmtId="1" fontId="1" fillId="16" borderId="27" xfId="2" applyNumberFormat="1" applyFill="1" applyBorder="1" applyAlignment="1">
      <alignment horizontal="center"/>
    </xf>
    <xf numFmtId="1" fontId="1" fillId="16" borderId="29" xfId="2" applyNumberFormat="1" applyFill="1" applyBorder="1" applyAlignment="1">
      <alignment horizontal="center"/>
    </xf>
    <xf numFmtId="1" fontId="1" fillId="19" borderId="13" xfId="2" applyNumberFormat="1" applyFill="1" applyBorder="1" applyAlignment="1">
      <alignment horizontal="center"/>
    </xf>
    <xf numFmtId="1" fontId="1" fillId="19" borderId="27" xfId="2" applyNumberFormat="1" applyFill="1" applyBorder="1" applyAlignment="1">
      <alignment horizontal="center"/>
    </xf>
    <xf numFmtId="1" fontId="1" fillId="21" borderId="27" xfId="2" applyNumberFormat="1" applyFill="1" applyBorder="1" applyAlignment="1">
      <alignment horizontal="center"/>
    </xf>
    <xf numFmtId="1" fontId="1" fillId="18" borderId="29" xfId="2" applyNumberFormat="1" applyFill="1" applyBorder="1" applyAlignment="1">
      <alignment horizontal="center" wrapText="1"/>
    </xf>
    <xf numFmtId="1" fontId="1" fillId="23" borderId="13" xfId="2" applyNumberFormat="1" applyFill="1" applyBorder="1" applyAlignment="1">
      <alignment horizontal="center"/>
    </xf>
    <xf numFmtId="1" fontId="1" fillId="23" borderId="27" xfId="2" applyNumberFormat="1" applyFill="1" applyBorder="1" applyAlignment="1">
      <alignment horizontal="center"/>
    </xf>
    <xf numFmtId="1" fontId="1" fillId="24" borderId="27" xfId="2" applyNumberFormat="1" applyFill="1" applyBorder="1" applyAlignment="1">
      <alignment horizontal="center"/>
    </xf>
    <xf numFmtId="1" fontId="1" fillId="24" borderId="29" xfId="2" applyNumberFormat="1" applyFill="1" applyBorder="1" applyAlignment="1">
      <alignment horizontal="center"/>
    </xf>
    <xf numFmtId="0" fontId="1" fillId="27" borderId="15" xfId="2" applyFill="1" applyBorder="1" applyAlignment="1">
      <alignment horizontal="center"/>
    </xf>
    <xf numFmtId="0" fontId="1" fillId="27" borderId="15" xfId="2" applyFill="1" applyBorder="1" applyAlignment="1">
      <alignment horizontal="center" wrapText="1"/>
    </xf>
    <xf numFmtId="0" fontId="1" fillId="28" borderId="15" xfId="2" applyFill="1" applyBorder="1" applyAlignment="1">
      <alignment horizontal="center"/>
    </xf>
    <xf numFmtId="166" fontId="1" fillId="27" borderId="15" xfId="2" applyNumberFormat="1" applyFill="1" applyBorder="1" applyAlignment="1">
      <alignment horizontal="center" wrapText="1"/>
    </xf>
    <xf numFmtId="1" fontId="1" fillId="27" borderId="15" xfId="2" applyNumberFormat="1" applyFill="1" applyBorder="1" applyAlignment="1">
      <alignment horizontal="center" wrapText="1"/>
    </xf>
    <xf numFmtId="0" fontId="1" fillId="28" borderId="14" xfId="2" applyFill="1" applyBorder="1" applyAlignment="1">
      <alignment horizontal="center"/>
    </xf>
    <xf numFmtId="1" fontId="1" fillId="28" borderId="15" xfId="2" applyNumberFormat="1" applyFill="1" applyBorder="1" applyAlignment="1">
      <alignment horizontal="center"/>
    </xf>
    <xf numFmtId="1" fontId="1" fillId="28" borderId="35" xfId="2" applyNumberFormat="1" applyFill="1" applyBorder="1" applyAlignment="1">
      <alignment horizontal="center"/>
    </xf>
    <xf numFmtId="164" fontId="1" fillId="28" borderId="15" xfId="2" applyNumberFormat="1" applyFill="1" applyBorder="1" applyAlignment="1">
      <alignment horizontal="center"/>
    </xf>
    <xf numFmtId="1" fontId="1" fillId="28" borderId="27" xfId="2" applyNumberFormat="1" applyFill="1" applyBorder="1" applyAlignment="1">
      <alignment horizontal="center"/>
    </xf>
    <xf numFmtId="0" fontId="1" fillId="27" borderId="21" xfId="2" applyFill="1" applyBorder="1" applyAlignment="1">
      <alignment horizontal="center"/>
    </xf>
    <xf numFmtId="0" fontId="1" fillId="28" borderId="21" xfId="2" applyFill="1" applyBorder="1" applyAlignment="1">
      <alignment horizontal="center"/>
    </xf>
    <xf numFmtId="0" fontId="1" fillId="27" borderId="26" xfId="2" applyFill="1" applyBorder="1" applyAlignment="1">
      <alignment horizontal="center"/>
    </xf>
    <xf numFmtId="166" fontId="1" fillId="27" borderId="27" xfId="2" applyNumberFormat="1" applyFill="1" applyBorder="1" applyAlignment="1">
      <alignment horizontal="center" wrapText="1"/>
    </xf>
    <xf numFmtId="0" fontId="1" fillId="27" borderId="14" xfId="2" applyFill="1" applyBorder="1" applyAlignment="1">
      <alignment horizontal="center"/>
    </xf>
    <xf numFmtId="164" fontId="1" fillId="28" borderId="21" xfId="2" applyNumberFormat="1" applyFill="1" applyBorder="1" applyAlignment="1">
      <alignment horizontal="center"/>
    </xf>
    <xf numFmtId="1" fontId="1" fillId="28" borderId="28" xfId="2" applyNumberFormat="1" applyFill="1" applyBorder="1" applyAlignment="1">
      <alignment horizontal="center"/>
    </xf>
    <xf numFmtId="0" fontId="1" fillId="27" borderId="22" xfId="2" applyFill="1" applyBorder="1" applyAlignment="1">
      <alignment horizontal="center"/>
    </xf>
    <xf numFmtId="0" fontId="1" fillId="28" borderId="22" xfId="2" applyFill="1" applyBorder="1" applyAlignment="1">
      <alignment horizontal="center"/>
    </xf>
    <xf numFmtId="166" fontId="1" fillId="27" borderId="22" xfId="2" applyNumberFormat="1" applyFill="1" applyBorder="1" applyAlignment="1">
      <alignment horizontal="center" wrapText="1"/>
    </xf>
    <xf numFmtId="1" fontId="1" fillId="27" borderId="22" xfId="2" applyNumberFormat="1" applyFill="1" applyBorder="1" applyAlignment="1">
      <alignment horizontal="center" wrapText="1"/>
    </xf>
    <xf numFmtId="1" fontId="1" fillId="28" borderId="22" xfId="2" applyNumberFormat="1" applyFill="1" applyBorder="1" applyAlignment="1">
      <alignment horizontal="center"/>
    </xf>
    <xf numFmtId="1" fontId="1" fillId="28" borderId="36" xfId="2" applyNumberFormat="1" applyFill="1" applyBorder="1" applyAlignment="1">
      <alignment horizontal="center"/>
    </xf>
    <xf numFmtId="164" fontId="1" fillId="28" borderId="22" xfId="2" applyNumberFormat="1" applyFill="1" applyBorder="1" applyAlignment="1">
      <alignment horizontal="center"/>
    </xf>
    <xf numFmtId="1" fontId="1" fillId="28" borderId="29" xfId="2" applyNumberFormat="1" applyFill="1" applyBorder="1" applyAlignment="1">
      <alignment horizontal="center"/>
    </xf>
    <xf numFmtId="164" fontId="1" fillId="9" borderId="12" xfId="2" applyNumberFormat="1" applyFill="1" applyBorder="1" applyAlignment="1">
      <alignment horizontal="center"/>
    </xf>
    <xf numFmtId="164" fontId="1" fillId="12" borderId="12" xfId="2" applyNumberFormat="1" applyFill="1" applyBorder="1" applyAlignment="1">
      <alignment horizontal="center" wrapText="1"/>
    </xf>
    <xf numFmtId="164" fontId="1" fillId="12" borderId="15" xfId="2" applyNumberFormat="1" applyFill="1" applyBorder="1" applyAlignment="1">
      <alignment horizontal="center" wrapText="1"/>
    </xf>
    <xf numFmtId="164" fontId="1" fillId="12" borderId="27" xfId="2" applyNumberFormat="1" applyFill="1" applyBorder="1" applyAlignment="1">
      <alignment horizontal="center" wrapText="1"/>
    </xf>
    <xf numFmtId="164" fontId="1" fillId="12" borderId="22" xfId="2" applyNumberFormat="1" applyFill="1" applyBorder="1" applyAlignment="1">
      <alignment horizontal="center" wrapText="1"/>
    </xf>
    <xf numFmtId="164" fontId="1" fillId="13" borderId="14" xfId="2" applyNumberFormat="1" applyFill="1" applyBorder="1" applyAlignment="1">
      <alignment horizontal="center" wrapText="1"/>
    </xf>
    <xf numFmtId="164" fontId="1" fillId="3" borderId="15" xfId="2" applyNumberFormat="1" applyFill="1" applyBorder="1" applyAlignment="1">
      <alignment horizontal="center" wrapText="1"/>
    </xf>
    <xf numFmtId="164" fontId="1" fillId="3" borderId="21" xfId="2" applyNumberFormat="1" applyFill="1" applyBorder="1" applyAlignment="1">
      <alignment horizontal="center" wrapText="1"/>
    </xf>
    <xf numFmtId="164" fontId="1" fillId="15" borderId="12" xfId="2" applyNumberFormat="1" applyFill="1" applyBorder="1" applyAlignment="1">
      <alignment horizontal="center" wrapText="1"/>
    </xf>
    <xf numFmtId="164" fontId="1" fillId="15" borderId="15" xfId="2" applyNumberFormat="1" applyFill="1" applyBorder="1" applyAlignment="1">
      <alignment horizontal="center" wrapText="1"/>
    </xf>
    <xf numFmtId="164" fontId="1" fillId="15" borderId="22" xfId="2" applyNumberFormat="1" applyFill="1" applyBorder="1" applyAlignment="1">
      <alignment horizontal="center" wrapText="1"/>
    </xf>
    <xf numFmtId="164" fontId="1" fillId="18" borderId="14" xfId="2" applyNumberFormat="1" applyFill="1" applyBorder="1" applyAlignment="1">
      <alignment horizontal="center" wrapText="1"/>
    </xf>
    <xf numFmtId="164" fontId="1" fillId="18" borderId="15" xfId="2" applyNumberFormat="1" applyFill="1" applyBorder="1" applyAlignment="1">
      <alignment horizontal="center" wrapText="1"/>
    </xf>
    <xf numFmtId="164" fontId="1" fillId="20" borderId="15" xfId="2" applyNumberFormat="1" applyFill="1" applyBorder="1" applyAlignment="1">
      <alignment horizontal="center" wrapText="1"/>
    </xf>
    <xf numFmtId="164" fontId="1" fillId="22" borderId="12" xfId="2" applyNumberFormat="1" applyFill="1" applyBorder="1" applyAlignment="1">
      <alignment horizontal="center" wrapText="1"/>
    </xf>
    <xf numFmtId="164" fontId="1" fillId="22" borderId="14" xfId="2" applyNumberFormat="1" applyFill="1" applyBorder="1" applyAlignment="1">
      <alignment horizontal="center" wrapText="1"/>
    </xf>
    <xf numFmtId="164" fontId="1" fillId="25" borderId="14" xfId="2" applyNumberFormat="1" applyFill="1" applyBorder="1" applyAlignment="1">
      <alignment horizontal="center" wrapText="1"/>
    </xf>
    <xf numFmtId="164" fontId="1" fillId="25" borderId="15" xfId="2" applyNumberFormat="1" applyFill="1" applyBorder="1" applyAlignment="1">
      <alignment horizontal="center" wrapText="1"/>
    </xf>
    <xf numFmtId="164" fontId="1" fillId="25" borderId="22" xfId="2" applyNumberFormat="1" applyFill="1" applyBorder="1" applyAlignment="1">
      <alignment horizontal="center" wrapText="1"/>
    </xf>
    <xf numFmtId="164" fontId="1" fillId="27" borderId="15" xfId="2" applyNumberFormat="1" applyFill="1" applyBorder="1" applyAlignment="1">
      <alignment horizontal="center" wrapText="1"/>
    </xf>
    <xf numFmtId="164" fontId="1" fillId="27" borderId="27" xfId="2" applyNumberFormat="1" applyFill="1" applyBorder="1" applyAlignment="1">
      <alignment horizontal="center" wrapText="1"/>
    </xf>
    <xf numFmtId="164" fontId="1" fillId="27" borderId="22" xfId="2" applyNumberFormat="1" applyFill="1" applyBorder="1" applyAlignment="1">
      <alignment horizontal="center" wrapText="1"/>
    </xf>
    <xf numFmtId="0" fontId="0" fillId="0" borderId="0" xfId="0" applyAlignment="1">
      <alignment horizontal="left"/>
    </xf>
    <xf numFmtId="0" fontId="6" fillId="24" borderId="8" xfId="2" applyFont="1" applyFill="1" applyBorder="1" applyAlignment="1">
      <alignment horizontal="center" vertical="center" textRotation="90"/>
    </xf>
    <xf numFmtId="0" fontId="6" fillId="9" borderId="8" xfId="2" applyFont="1" applyFill="1" applyBorder="1" applyAlignment="1">
      <alignment horizontal="center" vertical="center" textRotation="90"/>
    </xf>
    <xf numFmtId="0" fontId="6" fillId="11" borderId="19" xfId="2" applyFont="1" applyFill="1" applyBorder="1" applyAlignment="1">
      <alignment horizontal="center" vertical="center" textRotation="90"/>
    </xf>
    <xf numFmtId="0" fontId="6" fillId="11" borderId="20" xfId="2" applyFont="1" applyFill="1" applyBorder="1" applyAlignment="1">
      <alignment horizontal="center" vertical="center" textRotation="90"/>
    </xf>
    <xf numFmtId="0" fontId="6" fillId="11" borderId="17" xfId="2" applyFont="1" applyFill="1" applyBorder="1" applyAlignment="1">
      <alignment horizontal="center" vertical="center" textRotation="90"/>
    </xf>
    <xf numFmtId="0" fontId="6" fillId="7" borderId="8" xfId="2" applyFont="1" applyFill="1" applyBorder="1" applyAlignment="1">
      <alignment horizontal="center" vertical="center" textRotation="90" wrapText="1"/>
    </xf>
    <xf numFmtId="0" fontId="6" fillId="4" borderId="8" xfId="2" applyFont="1" applyFill="1" applyBorder="1" applyAlignment="1">
      <alignment horizontal="center" vertical="center" textRotation="90"/>
    </xf>
    <xf numFmtId="0" fontId="6" fillId="16" borderId="8" xfId="2" applyFont="1" applyFill="1" applyBorder="1" applyAlignment="1">
      <alignment horizontal="center" vertical="center" textRotation="90"/>
    </xf>
    <xf numFmtId="0" fontId="6" fillId="19" borderId="19" xfId="2" applyFont="1" applyFill="1" applyBorder="1" applyAlignment="1">
      <alignment horizontal="center" vertical="center" textRotation="90"/>
    </xf>
    <xf numFmtId="0" fontId="6" fillId="19" borderId="20" xfId="2" applyFont="1" applyFill="1" applyBorder="1" applyAlignment="1">
      <alignment horizontal="center" vertical="center" textRotation="90"/>
    </xf>
    <xf numFmtId="0" fontId="6" fillId="19" borderId="17" xfId="2" applyFont="1" applyFill="1" applyBorder="1" applyAlignment="1">
      <alignment horizontal="center" vertical="center" textRotation="90"/>
    </xf>
    <xf numFmtId="0" fontId="12" fillId="0" borderId="0" xfId="0" applyFont="1" applyAlignment="1">
      <alignment horizontal="left"/>
    </xf>
  </cellXfs>
  <cellStyles count="5">
    <cellStyle name="Normal" xfId="0" builtinId="0"/>
    <cellStyle name="Normal 2" xfId="2" xr:uid="{1D106FC3-AA6C-4798-BB90-33958C242584}"/>
    <cellStyle name="Normal_2010 SLS Survey 5 Smelt Catch as of 3-3" xfId="1" xr:uid="{266BAF3B-B141-4886-8C42-2102BE6AFE09}"/>
    <cellStyle name="Normal_Survey 12 (5)" xfId="4" xr:uid="{35CBCA3A-4DF6-4A61-8359-AC6F781F99E1}"/>
    <cellStyle name="Normal_Survey 5" xfId="3" xr:uid="{A2F2AC4B-10C2-4DB2-898A-6D261926600E}"/>
  </cellStyles>
  <dxfs count="0"/>
  <tableStyles count="0" defaultTableStyle="TableStyleMedium2" defaultPivotStyle="PivotStyleLight16"/>
  <colors>
    <mruColors>
      <color rgb="FFFFCC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9B589B-8AC7-4A2D-A539-553898FA0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NativeFish\Data%20Reporting\SLS%20Catch%20Summaries\2026\SLS%20catch%20update.xlsx" TargetMode="External"/><Relationship Id="rId1" Type="http://schemas.openxmlformats.org/officeDocument/2006/relationships/externalLinkPath" Target="SLS%20catch%20up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rvey 12"/>
      <sheetName val="Survey 13 "/>
      <sheetName val="Survey 1"/>
      <sheetName val="Survey 2"/>
      <sheetName val="Survey 3"/>
      <sheetName val="Survey 4 "/>
      <sheetName val="Survey 5"/>
      <sheetName val="Survey 6"/>
    </sheetNames>
    <sheetDataSet>
      <sheetData sheetId="0">
        <row r="3">
          <cell r="B3">
            <v>2026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5046-A78E-4C25-A7CC-C4EBB8675160}">
  <dimension ref="A1:AD81"/>
  <sheetViews>
    <sheetView topLeftCell="A54" workbookViewId="0">
      <selection activeCell="F67" sqref="F67:Q68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.140625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36</v>
      </c>
      <c r="D2" s="50" t="s">
        <v>37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v>2026</v>
      </c>
      <c r="C3" s="55">
        <v>12</v>
      </c>
      <c r="D3" s="55">
        <v>306</v>
      </c>
      <c r="E3" s="56">
        <v>45993</v>
      </c>
      <c r="F3" s="334">
        <v>6.5</v>
      </c>
      <c r="G3" s="57">
        <v>71</v>
      </c>
      <c r="H3" s="55" t="s">
        <v>18</v>
      </c>
      <c r="I3" s="58" t="s">
        <v>19</v>
      </c>
      <c r="J3" s="57"/>
      <c r="K3" s="55" t="s">
        <v>20</v>
      </c>
      <c r="L3" s="55"/>
      <c r="M3" s="59"/>
      <c r="N3" s="60"/>
      <c r="O3" s="61"/>
      <c r="P3" s="358" t="s">
        <v>38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12</v>
      </c>
      <c r="D4" s="64">
        <v>308</v>
      </c>
      <c r="E4" s="65">
        <v>45993</v>
      </c>
      <c r="F4" s="70">
        <v>13.4</v>
      </c>
      <c r="G4" s="66">
        <v>70</v>
      </c>
      <c r="H4" s="67" t="s">
        <v>18</v>
      </c>
      <c r="I4" s="68" t="s">
        <v>19</v>
      </c>
      <c r="J4" s="66"/>
      <c r="K4" s="64" t="s">
        <v>20</v>
      </c>
      <c r="L4" s="64"/>
      <c r="M4" s="69"/>
      <c r="N4" s="70"/>
      <c r="O4" s="71"/>
      <c r="P4" s="358"/>
      <c r="Q4" s="13"/>
    </row>
    <row r="5" spans="1:17" ht="19.5" customHeight="1" thickBot="1" x14ac:dyDescent="0.3">
      <c r="A5" s="49"/>
      <c r="B5" s="62">
        <f t="shared" ref="B5:B14" si="0">B4</f>
        <v>2026</v>
      </c>
      <c r="C5" s="63">
        <f t="shared" ref="C5:C15" si="1">C4</f>
        <v>12</v>
      </c>
      <c r="D5" s="62">
        <v>311</v>
      </c>
      <c r="E5" s="72">
        <v>45993</v>
      </c>
      <c r="F5" s="77">
        <v>7.4</v>
      </c>
      <c r="G5" s="73">
        <v>80</v>
      </c>
      <c r="H5" s="74" t="s">
        <v>18</v>
      </c>
      <c r="I5" s="75" t="s">
        <v>19</v>
      </c>
      <c r="J5" s="73"/>
      <c r="K5" s="62" t="s">
        <v>20</v>
      </c>
      <c r="L5" s="62"/>
      <c r="M5" s="76"/>
      <c r="N5" s="77"/>
      <c r="O5" s="78"/>
      <c r="P5" s="358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1"/>
        <v>12</v>
      </c>
      <c r="D6" s="62">
        <v>315</v>
      </c>
      <c r="E6" s="72">
        <v>45993</v>
      </c>
      <c r="F6" s="77">
        <v>13.3</v>
      </c>
      <c r="G6" s="73">
        <v>47</v>
      </c>
      <c r="H6" s="74" t="s">
        <v>18</v>
      </c>
      <c r="I6" s="75" t="s">
        <v>19</v>
      </c>
      <c r="J6" s="73"/>
      <c r="K6" s="62" t="s">
        <v>20</v>
      </c>
      <c r="L6" s="62"/>
      <c r="M6" s="76"/>
      <c r="N6" s="77"/>
      <c r="O6" s="78"/>
      <c r="P6" s="358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1"/>
        <v>12</v>
      </c>
      <c r="D7" s="62">
        <v>322</v>
      </c>
      <c r="E7" s="72">
        <v>45993</v>
      </c>
      <c r="F7" s="77">
        <v>7.4</v>
      </c>
      <c r="G7" s="73">
        <v>70</v>
      </c>
      <c r="H7" s="74" t="s">
        <v>18</v>
      </c>
      <c r="I7" s="75" t="s">
        <v>19</v>
      </c>
      <c r="J7" s="73"/>
      <c r="K7" s="62" t="s">
        <v>20</v>
      </c>
      <c r="L7" s="62"/>
      <c r="M7" s="76"/>
      <c r="N7" s="77"/>
      <c r="O7" s="78"/>
      <c r="P7" s="358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1"/>
        <v>12</v>
      </c>
      <c r="D8" s="62">
        <v>323</v>
      </c>
      <c r="E8" s="72">
        <v>45993</v>
      </c>
      <c r="F8" s="77">
        <v>6.6</v>
      </c>
      <c r="G8" s="73">
        <v>80</v>
      </c>
      <c r="H8" s="74" t="s">
        <v>18</v>
      </c>
      <c r="I8" s="75" t="s">
        <v>19</v>
      </c>
      <c r="J8" s="73"/>
      <c r="K8" s="62" t="s">
        <v>20</v>
      </c>
      <c r="L8" s="62"/>
      <c r="M8" s="76"/>
      <c r="N8" s="77"/>
      <c r="O8" s="78"/>
      <c r="P8" s="358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1"/>
        <v>12</v>
      </c>
      <c r="D9" s="62">
        <v>327</v>
      </c>
      <c r="E9" s="72">
        <v>45993</v>
      </c>
      <c r="F9" s="77">
        <v>14</v>
      </c>
      <c r="G9" s="73">
        <v>50</v>
      </c>
      <c r="H9" s="74" t="s">
        <v>18</v>
      </c>
      <c r="I9" s="75" t="s">
        <v>19</v>
      </c>
      <c r="J9" s="73"/>
      <c r="K9" s="62" t="s">
        <v>20</v>
      </c>
      <c r="L9" s="62"/>
      <c r="M9" s="76"/>
      <c r="N9" s="77"/>
      <c r="O9" s="78"/>
      <c r="P9" s="358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1"/>
        <v>12</v>
      </c>
      <c r="D10" s="62">
        <v>328</v>
      </c>
      <c r="E10" s="72">
        <v>45993</v>
      </c>
      <c r="F10" s="77">
        <v>17.7</v>
      </c>
      <c r="G10" s="73">
        <v>40</v>
      </c>
      <c r="H10" s="74" t="s">
        <v>18</v>
      </c>
      <c r="I10" s="75" t="s">
        <v>19</v>
      </c>
      <c r="J10" s="73"/>
      <c r="K10" s="62" t="s">
        <v>20</v>
      </c>
      <c r="L10" s="62"/>
      <c r="M10" s="76"/>
      <c r="N10" s="77"/>
      <c r="O10" s="78"/>
      <c r="P10" s="358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1"/>
        <v>12</v>
      </c>
      <c r="D11" s="62">
        <v>329</v>
      </c>
      <c r="E11" s="72">
        <v>45993</v>
      </c>
      <c r="F11" s="77">
        <v>4.3</v>
      </c>
      <c r="G11" s="73">
        <v>80</v>
      </c>
      <c r="H11" s="74" t="s">
        <v>18</v>
      </c>
      <c r="I11" s="75" t="s">
        <v>19</v>
      </c>
      <c r="J11" s="73"/>
      <c r="K11" s="62" t="s">
        <v>20</v>
      </c>
      <c r="L11" s="62"/>
      <c r="M11" s="76"/>
      <c r="N11" s="77"/>
      <c r="O11" s="78"/>
      <c r="P11" s="358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1"/>
        <v>12</v>
      </c>
      <c r="D12" s="62">
        <v>330</v>
      </c>
      <c r="E12" s="72">
        <v>45993</v>
      </c>
      <c r="F12" s="77">
        <v>8.6</v>
      </c>
      <c r="G12" s="73">
        <v>62</v>
      </c>
      <c r="H12" s="74" t="s">
        <v>18</v>
      </c>
      <c r="I12" s="75" t="s">
        <v>19</v>
      </c>
      <c r="J12" s="73"/>
      <c r="K12" s="62" t="s">
        <v>20</v>
      </c>
      <c r="L12" s="62"/>
      <c r="M12" s="76"/>
      <c r="N12" s="77"/>
      <c r="O12" s="78"/>
      <c r="P12" s="358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1"/>
        <v>12</v>
      </c>
      <c r="D13" s="62">
        <v>335</v>
      </c>
      <c r="E13" s="72">
        <v>45993</v>
      </c>
      <c r="F13" s="77">
        <v>3.7</v>
      </c>
      <c r="G13" s="73">
        <v>110</v>
      </c>
      <c r="H13" s="74" t="s">
        <v>18</v>
      </c>
      <c r="I13" s="75" t="s">
        <v>19</v>
      </c>
      <c r="J13" s="73"/>
      <c r="K13" s="62" t="s">
        <v>20</v>
      </c>
      <c r="L13" s="62"/>
      <c r="M13" s="76"/>
      <c r="N13" s="77"/>
      <c r="O13" s="78"/>
      <c r="P13" s="358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1"/>
        <v>12</v>
      </c>
      <c r="D14" s="62">
        <v>336</v>
      </c>
      <c r="E14" s="72">
        <v>45993</v>
      </c>
      <c r="F14" s="77">
        <v>6.2</v>
      </c>
      <c r="G14" s="73">
        <v>70</v>
      </c>
      <c r="H14" s="74" t="s">
        <v>18</v>
      </c>
      <c r="I14" s="75" t="s">
        <v>19</v>
      </c>
      <c r="J14" s="73"/>
      <c r="K14" s="62" t="s">
        <v>20</v>
      </c>
      <c r="L14" s="62"/>
      <c r="M14" s="76"/>
      <c r="N14" s="77"/>
      <c r="O14" s="78"/>
      <c r="P14" s="358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1"/>
        <v>12</v>
      </c>
      <c r="D15" s="79">
        <v>338</v>
      </c>
      <c r="E15" s="80">
        <v>45992</v>
      </c>
      <c r="F15" s="84">
        <v>10.5</v>
      </c>
      <c r="G15" s="81">
        <v>56</v>
      </c>
      <c r="H15" s="74" t="s">
        <v>18</v>
      </c>
      <c r="I15" s="82" t="s">
        <v>19</v>
      </c>
      <c r="J15" s="81"/>
      <c r="K15" s="79" t="s">
        <v>20</v>
      </c>
      <c r="L15" s="79"/>
      <c r="M15" s="83"/>
      <c r="N15" s="84"/>
      <c r="O15" s="85"/>
      <c r="P15" s="358"/>
      <c r="Q15" s="13"/>
    </row>
    <row r="16" spans="1:17" ht="19.5" customHeight="1" x14ac:dyDescent="0.25">
      <c r="A16" s="49"/>
      <c r="B16" s="86">
        <f>B15</f>
        <v>2026</v>
      </c>
      <c r="C16" s="87">
        <f>C3</f>
        <v>12</v>
      </c>
      <c r="D16" s="86">
        <v>340</v>
      </c>
      <c r="E16" s="88">
        <v>45992</v>
      </c>
      <c r="F16" s="335">
        <v>17.600000000000001</v>
      </c>
      <c r="G16" s="89">
        <v>50</v>
      </c>
      <c r="H16" s="86" t="s">
        <v>18</v>
      </c>
      <c r="I16" s="90" t="s">
        <v>19</v>
      </c>
      <c r="J16" s="90"/>
      <c r="K16" s="86" t="s">
        <v>20</v>
      </c>
      <c r="L16" s="86"/>
      <c r="M16" s="91"/>
      <c r="N16" s="92"/>
      <c r="O16" s="93"/>
      <c r="P16" s="359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12</v>
      </c>
      <c r="D17" s="95">
        <v>342</v>
      </c>
      <c r="E17" s="96">
        <v>45992</v>
      </c>
      <c r="F17" s="336">
        <v>13.5</v>
      </c>
      <c r="G17" s="97">
        <v>56</v>
      </c>
      <c r="H17" s="95" t="s">
        <v>18</v>
      </c>
      <c r="I17" s="98" t="s">
        <v>19</v>
      </c>
      <c r="J17" s="98"/>
      <c r="K17" s="95" t="s">
        <v>20</v>
      </c>
      <c r="L17" s="95"/>
      <c r="M17" s="99"/>
      <c r="N17" s="100"/>
      <c r="O17" s="101"/>
      <c r="P17" s="360"/>
      <c r="Q17" s="13"/>
    </row>
    <row r="18" spans="1:17" ht="19.5" customHeight="1" x14ac:dyDescent="0.25">
      <c r="A18" s="49"/>
      <c r="B18" s="94">
        <f t="shared" ref="B18:B19" si="2">B17</f>
        <v>2026</v>
      </c>
      <c r="C18" s="94">
        <f>C3</f>
        <v>12</v>
      </c>
      <c r="D18" s="95">
        <v>343</v>
      </c>
      <c r="E18" s="96">
        <v>45992</v>
      </c>
      <c r="F18" s="336">
        <v>11.4</v>
      </c>
      <c r="G18" s="97">
        <v>65</v>
      </c>
      <c r="H18" s="95" t="s">
        <v>18</v>
      </c>
      <c r="I18" s="98" t="s">
        <v>19</v>
      </c>
      <c r="J18" s="98"/>
      <c r="K18" s="95" t="s">
        <v>20</v>
      </c>
      <c r="L18" s="95"/>
      <c r="M18" s="99"/>
      <c r="N18" s="100"/>
      <c r="O18" s="101"/>
      <c r="P18" s="360"/>
      <c r="Q18" s="13"/>
    </row>
    <row r="19" spans="1:17" ht="19.5" customHeight="1" x14ac:dyDescent="0.25">
      <c r="A19" s="49"/>
      <c r="B19" s="94">
        <f t="shared" si="2"/>
        <v>2026</v>
      </c>
      <c r="C19" s="94">
        <f>C4</f>
        <v>12</v>
      </c>
      <c r="D19" s="95">
        <v>344</v>
      </c>
      <c r="E19" s="96">
        <v>45992</v>
      </c>
      <c r="F19" s="336">
        <v>9.6</v>
      </c>
      <c r="G19" s="97">
        <v>57</v>
      </c>
      <c r="H19" s="95" t="s">
        <v>18</v>
      </c>
      <c r="I19" s="98" t="s">
        <v>19</v>
      </c>
      <c r="J19" s="98"/>
      <c r="K19" s="95" t="s">
        <v>20</v>
      </c>
      <c r="L19" s="95"/>
      <c r="M19" s="99"/>
      <c r="N19" s="100"/>
      <c r="O19" s="101"/>
      <c r="P19" s="360"/>
      <c r="Q19" s="13"/>
    </row>
    <row r="20" spans="1:17" ht="19.5" customHeight="1" x14ac:dyDescent="0.25">
      <c r="A20" s="49"/>
      <c r="B20" s="94">
        <f>B19</f>
        <v>2026</v>
      </c>
      <c r="C20" s="94">
        <f>C5</f>
        <v>12</v>
      </c>
      <c r="D20" s="95">
        <v>345</v>
      </c>
      <c r="E20" s="96">
        <v>45992</v>
      </c>
      <c r="F20" s="336">
        <v>8.4</v>
      </c>
      <c r="G20" s="97">
        <v>74</v>
      </c>
      <c r="H20" s="95" t="s">
        <v>18</v>
      </c>
      <c r="I20" s="98" t="s">
        <v>19</v>
      </c>
      <c r="J20" s="98"/>
      <c r="K20" s="95" t="s">
        <v>20</v>
      </c>
      <c r="L20" s="95"/>
      <c r="M20" s="99"/>
      <c r="N20" s="100"/>
      <c r="O20" s="101"/>
      <c r="P20" s="360"/>
      <c r="Q20" s="13"/>
    </row>
    <row r="21" spans="1:17" ht="19.5" customHeight="1" x14ac:dyDescent="0.25">
      <c r="A21" s="49"/>
      <c r="B21" s="102">
        <f>B20</f>
        <v>2026</v>
      </c>
      <c r="C21" s="102">
        <f>C6</f>
        <v>12</v>
      </c>
      <c r="D21" s="103">
        <v>346</v>
      </c>
      <c r="E21" s="96">
        <v>45992</v>
      </c>
      <c r="F21" s="336">
        <v>4.9000000000000004</v>
      </c>
      <c r="G21" s="97">
        <v>83</v>
      </c>
      <c r="H21" s="95" t="s">
        <v>18</v>
      </c>
      <c r="I21" s="98" t="s">
        <v>19</v>
      </c>
      <c r="J21" s="98"/>
      <c r="K21" s="95" t="s">
        <v>20</v>
      </c>
      <c r="L21" s="95"/>
      <c r="M21" s="99"/>
      <c r="N21" s="100"/>
      <c r="O21" s="101"/>
      <c r="P21" s="360"/>
      <c r="Q21" s="13"/>
    </row>
    <row r="22" spans="1:17" ht="19.5" customHeight="1" x14ac:dyDescent="0.25">
      <c r="A22" s="49"/>
      <c r="B22" s="104">
        <f t="shared" ref="B22" si="3">B21</f>
        <v>2026</v>
      </c>
      <c r="C22" s="94">
        <f>C7</f>
        <v>12</v>
      </c>
      <c r="D22" s="95">
        <v>347</v>
      </c>
      <c r="E22" s="105">
        <v>45992</v>
      </c>
      <c r="F22" s="337">
        <v>6.1</v>
      </c>
      <c r="G22" s="97">
        <v>140</v>
      </c>
      <c r="H22" s="95" t="s">
        <v>18</v>
      </c>
      <c r="I22" s="98" t="s">
        <v>19</v>
      </c>
      <c r="J22" s="98"/>
      <c r="K22" s="95" t="s">
        <v>20</v>
      </c>
      <c r="L22" s="95"/>
      <c r="M22" s="99"/>
      <c r="N22" s="100"/>
      <c r="O22" s="101"/>
      <c r="P22" s="360"/>
      <c r="Q22" s="13"/>
    </row>
    <row r="23" spans="1:17" ht="19.5" customHeight="1" x14ac:dyDescent="0.25">
      <c r="A23" s="49"/>
      <c r="B23" s="94">
        <f>B22</f>
        <v>2026</v>
      </c>
      <c r="C23" s="106">
        <f>C5</f>
        <v>12</v>
      </c>
      <c r="D23" s="107">
        <v>348</v>
      </c>
      <c r="E23" s="96">
        <v>45992</v>
      </c>
      <c r="F23" s="336">
        <v>2.9</v>
      </c>
      <c r="G23" s="97">
        <v>124</v>
      </c>
      <c r="H23" s="95" t="s">
        <v>18</v>
      </c>
      <c r="I23" s="98" t="s">
        <v>19</v>
      </c>
      <c r="J23" s="98"/>
      <c r="K23" s="95" t="s">
        <v>20</v>
      </c>
      <c r="L23" s="95"/>
      <c r="M23" s="99"/>
      <c r="N23" s="108"/>
      <c r="O23" s="109"/>
      <c r="P23" s="360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12</v>
      </c>
      <c r="D24" s="111">
        <v>349</v>
      </c>
      <c r="E24" s="112">
        <v>45992</v>
      </c>
      <c r="F24" s="338">
        <v>3.7</v>
      </c>
      <c r="G24" s="113">
        <v>120</v>
      </c>
      <c r="H24" s="111" t="s">
        <v>18</v>
      </c>
      <c r="I24" s="114" t="s">
        <v>19</v>
      </c>
      <c r="J24" s="114"/>
      <c r="K24" s="111" t="s">
        <v>20</v>
      </c>
      <c r="L24" s="111"/>
      <c r="M24" s="115"/>
      <c r="N24" s="116"/>
      <c r="O24" s="117"/>
      <c r="P24" s="361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12</v>
      </c>
      <c r="D25" s="118">
        <v>401</v>
      </c>
      <c r="E25" s="120">
        <v>45992</v>
      </c>
      <c r="F25" s="339">
        <v>10.8</v>
      </c>
      <c r="G25" s="121">
        <v>86</v>
      </c>
      <c r="H25" s="118" t="s">
        <v>18</v>
      </c>
      <c r="I25" s="122" t="s">
        <v>19</v>
      </c>
      <c r="J25" s="122"/>
      <c r="K25" s="118" t="s">
        <v>20</v>
      </c>
      <c r="L25" s="118"/>
      <c r="M25" s="123"/>
      <c r="N25" s="124"/>
      <c r="O25" s="125"/>
      <c r="P25" s="362" t="s">
        <v>39</v>
      </c>
      <c r="Q25" s="13"/>
    </row>
    <row r="26" spans="1:17" ht="19.5" customHeight="1" thickBot="1" x14ac:dyDescent="0.3">
      <c r="A26" s="49"/>
      <c r="B26" s="118">
        <f t="shared" ref="B26:B61" si="4">B25</f>
        <v>2026</v>
      </c>
      <c r="C26" s="126">
        <f>C3</f>
        <v>12</v>
      </c>
      <c r="D26" s="127">
        <v>404</v>
      </c>
      <c r="E26" s="128">
        <v>45993</v>
      </c>
      <c r="F26" s="339">
        <v>10.9</v>
      </c>
      <c r="G26" s="121">
        <v>70</v>
      </c>
      <c r="H26" s="127" t="s">
        <v>18</v>
      </c>
      <c r="I26" s="129" t="s">
        <v>19</v>
      </c>
      <c r="J26" s="129"/>
      <c r="K26" s="127" t="s">
        <v>20</v>
      </c>
      <c r="L26" s="127"/>
      <c r="M26" s="130"/>
      <c r="N26" s="131"/>
      <c r="O26" s="132"/>
      <c r="P26" s="362"/>
      <c r="Q26" s="13"/>
    </row>
    <row r="27" spans="1:17" ht="19.5" customHeight="1" thickBot="1" x14ac:dyDescent="0.3">
      <c r="A27" s="49"/>
      <c r="B27" s="133">
        <f t="shared" si="4"/>
        <v>2026</v>
      </c>
      <c r="C27" s="133">
        <f>C3</f>
        <v>12</v>
      </c>
      <c r="D27" s="134">
        <v>405</v>
      </c>
      <c r="E27" s="135">
        <v>45993</v>
      </c>
      <c r="F27" s="138">
        <v>10.3</v>
      </c>
      <c r="G27" s="136">
        <v>57</v>
      </c>
      <c r="H27" s="134" t="s">
        <v>18</v>
      </c>
      <c r="I27" s="136" t="s">
        <v>19</v>
      </c>
      <c r="J27" s="136"/>
      <c r="K27" s="134" t="s">
        <v>20</v>
      </c>
      <c r="L27" s="134"/>
      <c r="M27" s="137"/>
      <c r="N27" s="138"/>
      <c r="O27" s="139"/>
      <c r="P27" s="362"/>
      <c r="Q27" s="13"/>
    </row>
    <row r="28" spans="1:17" ht="19.5" customHeight="1" thickBot="1" x14ac:dyDescent="0.3">
      <c r="A28" s="49"/>
      <c r="B28" s="140">
        <f t="shared" si="4"/>
        <v>2026</v>
      </c>
      <c r="C28" s="140">
        <f>C3</f>
        <v>12</v>
      </c>
      <c r="D28" s="141">
        <v>411</v>
      </c>
      <c r="E28" s="142">
        <v>45994</v>
      </c>
      <c r="F28" s="145">
        <v>14.7</v>
      </c>
      <c r="G28" s="143">
        <v>55</v>
      </c>
      <c r="H28" s="141" t="s">
        <v>18</v>
      </c>
      <c r="I28" s="143" t="s">
        <v>19</v>
      </c>
      <c r="J28" s="143"/>
      <c r="K28" s="141" t="s">
        <v>20</v>
      </c>
      <c r="L28" s="141"/>
      <c r="M28" s="144"/>
      <c r="N28" s="145"/>
      <c r="O28" s="146"/>
      <c r="P28" s="363" t="s">
        <v>40</v>
      </c>
      <c r="Q28" s="13"/>
    </row>
    <row r="29" spans="1:17" ht="19.5" customHeight="1" thickBot="1" x14ac:dyDescent="0.3">
      <c r="A29" s="49"/>
      <c r="B29" s="147">
        <f t="shared" si="4"/>
        <v>2026</v>
      </c>
      <c r="C29" s="147">
        <f>C3</f>
        <v>12</v>
      </c>
      <c r="D29" s="148">
        <v>418</v>
      </c>
      <c r="E29" s="149">
        <v>45994</v>
      </c>
      <c r="F29" s="152">
        <v>13.2</v>
      </c>
      <c r="G29" s="150">
        <v>73</v>
      </c>
      <c r="H29" s="148" t="s">
        <v>18</v>
      </c>
      <c r="I29" s="150" t="s">
        <v>19</v>
      </c>
      <c r="J29" s="150"/>
      <c r="K29" s="148" t="s">
        <v>20</v>
      </c>
      <c r="L29" s="148"/>
      <c r="M29" s="151"/>
      <c r="N29" s="152"/>
      <c r="O29" s="153"/>
      <c r="P29" s="363"/>
      <c r="Q29" s="13"/>
    </row>
    <row r="30" spans="1:17" ht="19.5" customHeight="1" thickBot="1" x14ac:dyDescent="0.3">
      <c r="A30" s="49"/>
      <c r="B30" s="147">
        <f t="shared" si="4"/>
        <v>2026</v>
      </c>
      <c r="C30" s="147">
        <f>C3</f>
        <v>12</v>
      </c>
      <c r="D30" s="148">
        <v>501</v>
      </c>
      <c r="E30" s="154">
        <v>45994</v>
      </c>
      <c r="F30" s="340">
        <v>15.1</v>
      </c>
      <c r="G30" s="155">
        <v>43</v>
      </c>
      <c r="H30" s="148" t="s">
        <v>18</v>
      </c>
      <c r="I30" s="150" t="s">
        <v>19</v>
      </c>
      <c r="J30" s="150"/>
      <c r="K30" s="148" t="s">
        <v>20</v>
      </c>
      <c r="L30" s="148"/>
      <c r="M30" s="151"/>
      <c r="N30" s="152"/>
      <c r="O30" s="153"/>
      <c r="P30" s="363"/>
      <c r="Q30" s="13"/>
    </row>
    <row r="31" spans="1:17" ht="19.5" customHeight="1" thickBot="1" x14ac:dyDescent="0.3">
      <c r="A31" s="49"/>
      <c r="B31" s="147">
        <f t="shared" si="4"/>
        <v>2026</v>
      </c>
      <c r="C31" s="147">
        <f>C3</f>
        <v>12</v>
      </c>
      <c r="D31" s="148">
        <v>504</v>
      </c>
      <c r="E31" s="149">
        <v>45994</v>
      </c>
      <c r="F31" s="152">
        <v>17.399999999999999</v>
      </c>
      <c r="G31" s="150">
        <v>52</v>
      </c>
      <c r="H31" s="148" t="s">
        <v>18</v>
      </c>
      <c r="I31" s="150" t="s">
        <v>19</v>
      </c>
      <c r="J31" s="150"/>
      <c r="K31" s="148" t="s">
        <v>20</v>
      </c>
      <c r="L31" s="148"/>
      <c r="M31" s="151"/>
      <c r="N31" s="152"/>
      <c r="O31" s="153"/>
      <c r="P31" s="363"/>
      <c r="Q31" s="13"/>
    </row>
    <row r="32" spans="1:17" ht="19.5" customHeight="1" thickBot="1" x14ac:dyDescent="0.3">
      <c r="A32" s="49"/>
      <c r="B32" s="147">
        <f t="shared" si="4"/>
        <v>2026</v>
      </c>
      <c r="C32" s="147">
        <f>C3</f>
        <v>12</v>
      </c>
      <c r="D32" s="148">
        <v>519</v>
      </c>
      <c r="E32" s="149">
        <v>45994</v>
      </c>
      <c r="F32" s="152">
        <v>20.3</v>
      </c>
      <c r="G32" s="150">
        <v>38</v>
      </c>
      <c r="H32" s="148" t="s">
        <v>18</v>
      </c>
      <c r="I32" s="150" t="s">
        <v>19</v>
      </c>
      <c r="J32" s="150"/>
      <c r="K32" s="148" t="s">
        <v>20</v>
      </c>
      <c r="L32" s="148"/>
      <c r="M32" s="151"/>
      <c r="N32" s="152"/>
      <c r="O32" s="153"/>
      <c r="P32" s="363"/>
      <c r="Q32" s="13"/>
    </row>
    <row r="33" spans="1:17" ht="19.5" customHeight="1" thickBot="1" x14ac:dyDescent="0.3">
      <c r="A33" s="49"/>
      <c r="B33" s="147">
        <f t="shared" si="4"/>
        <v>2026</v>
      </c>
      <c r="C33" s="147">
        <f>C3</f>
        <v>12</v>
      </c>
      <c r="D33" s="148">
        <v>602</v>
      </c>
      <c r="E33" s="154">
        <v>45994</v>
      </c>
      <c r="F33" s="340">
        <v>41.1</v>
      </c>
      <c r="G33" s="155">
        <v>30</v>
      </c>
      <c r="H33" s="148" t="s">
        <v>18</v>
      </c>
      <c r="I33" s="150" t="s">
        <v>19</v>
      </c>
      <c r="J33" s="150"/>
      <c r="K33" s="148" t="s">
        <v>20</v>
      </c>
      <c r="L33" s="148"/>
      <c r="M33" s="151"/>
      <c r="N33" s="152"/>
      <c r="O33" s="153"/>
      <c r="P33" s="363"/>
      <c r="Q33" s="13"/>
    </row>
    <row r="34" spans="1:17" ht="19.5" customHeight="1" thickBot="1" x14ac:dyDescent="0.3">
      <c r="A34" s="49"/>
      <c r="B34" s="147">
        <f t="shared" si="4"/>
        <v>2026</v>
      </c>
      <c r="C34" s="147">
        <f>C3</f>
        <v>12</v>
      </c>
      <c r="D34" s="148">
        <v>606</v>
      </c>
      <c r="E34" s="149">
        <v>45994</v>
      </c>
      <c r="F34" s="152">
        <v>32</v>
      </c>
      <c r="G34" s="150">
        <v>28</v>
      </c>
      <c r="H34" s="148" t="s">
        <v>18</v>
      </c>
      <c r="I34" s="150" t="s">
        <v>19</v>
      </c>
      <c r="J34" s="150"/>
      <c r="K34" s="148" t="s">
        <v>20</v>
      </c>
      <c r="L34" s="148"/>
      <c r="M34" s="151"/>
      <c r="N34" s="152"/>
      <c r="O34" s="153"/>
      <c r="P34" s="363"/>
      <c r="Q34" s="13"/>
    </row>
    <row r="35" spans="1:17" ht="19.5" customHeight="1" thickBot="1" x14ac:dyDescent="0.3">
      <c r="A35" s="49"/>
      <c r="B35" s="147">
        <f t="shared" si="4"/>
        <v>2026</v>
      </c>
      <c r="C35" s="147">
        <f>C3</f>
        <v>12</v>
      </c>
      <c r="D35" s="148">
        <v>609</v>
      </c>
      <c r="E35" s="149">
        <v>45994</v>
      </c>
      <c r="F35" s="152">
        <v>38.799999999999997</v>
      </c>
      <c r="G35" s="150">
        <v>25</v>
      </c>
      <c r="H35" s="148" t="s">
        <v>18</v>
      </c>
      <c r="I35" s="150" t="s">
        <v>19</v>
      </c>
      <c r="J35" s="150"/>
      <c r="K35" s="148" t="s">
        <v>20</v>
      </c>
      <c r="L35" s="148"/>
      <c r="M35" s="151"/>
      <c r="N35" s="152"/>
      <c r="O35" s="153"/>
      <c r="P35" s="363"/>
      <c r="Q35" s="13"/>
    </row>
    <row r="36" spans="1:17" ht="19.5" customHeight="1" thickBot="1" x14ac:dyDescent="0.3">
      <c r="A36" s="49"/>
      <c r="B36" s="156">
        <f t="shared" si="4"/>
        <v>2026</v>
      </c>
      <c r="C36" s="157">
        <f>C3</f>
        <v>12</v>
      </c>
      <c r="D36" s="158">
        <v>610</v>
      </c>
      <c r="E36" s="159">
        <v>45994</v>
      </c>
      <c r="F36" s="341">
        <v>13.9</v>
      </c>
      <c r="G36" s="160">
        <v>45</v>
      </c>
      <c r="H36" s="158" t="s">
        <v>18</v>
      </c>
      <c r="I36" s="161" t="s">
        <v>19</v>
      </c>
      <c r="J36" s="161"/>
      <c r="K36" s="158" t="s">
        <v>20</v>
      </c>
      <c r="L36" s="158"/>
      <c r="M36" s="162"/>
      <c r="N36" s="163"/>
      <c r="O36" s="164"/>
      <c r="P36" s="363"/>
      <c r="Q36" s="13"/>
    </row>
    <row r="37" spans="1:17" ht="19.5" customHeight="1" thickBot="1" x14ac:dyDescent="0.3">
      <c r="A37" s="49"/>
      <c r="B37" s="165">
        <f t="shared" si="4"/>
        <v>2026</v>
      </c>
      <c r="C37" s="166">
        <f>C3</f>
        <v>12</v>
      </c>
      <c r="D37" s="167">
        <v>508</v>
      </c>
      <c r="E37" s="168">
        <v>45994</v>
      </c>
      <c r="F37" s="342">
        <v>17.5</v>
      </c>
      <c r="G37" s="169">
        <v>45</v>
      </c>
      <c r="H37" s="170" t="s">
        <v>18</v>
      </c>
      <c r="I37" s="170" t="s">
        <v>19</v>
      </c>
      <c r="J37" s="170"/>
      <c r="K37" s="167" t="s">
        <v>20</v>
      </c>
      <c r="L37" s="167"/>
      <c r="M37" s="171"/>
      <c r="N37" s="172"/>
      <c r="O37" s="173"/>
      <c r="P37" s="364" t="s">
        <v>16</v>
      </c>
      <c r="Q37" s="13"/>
    </row>
    <row r="38" spans="1:17" ht="19.5" customHeight="1" thickBot="1" x14ac:dyDescent="0.3">
      <c r="A38" s="49"/>
      <c r="B38" s="174">
        <f t="shared" si="4"/>
        <v>2026</v>
      </c>
      <c r="C38" s="166">
        <f>C3</f>
        <v>12</v>
      </c>
      <c r="D38" s="175">
        <v>513</v>
      </c>
      <c r="E38" s="176">
        <v>45994</v>
      </c>
      <c r="F38" s="343">
        <v>8.3000000000000007</v>
      </c>
      <c r="G38" s="177">
        <v>79</v>
      </c>
      <c r="H38" s="178" t="s">
        <v>18</v>
      </c>
      <c r="I38" s="178" t="s">
        <v>19</v>
      </c>
      <c r="J38" s="178"/>
      <c r="K38" s="175" t="s">
        <v>20</v>
      </c>
      <c r="L38" s="175"/>
      <c r="M38" s="179"/>
      <c r="N38" s="180"/>
      <c r="O38" s="181"/>
      <c r="P38" s="364"/>
      <c r="Q38" s="13"/>
    </row>
    <row r="39" spans="1:17" ht="19.5" customHeight="1" thickBot="1" x14ac:dyDescent="0.3">
      <c r="A39" s="49"/>
      <c r="B39" s="174">
        <f t="shared" si="4"/>
        <v>2026</v>
      </c>
      <c r="C39" s="166">
        <f>C3</f>
        <v>12</v>
      </c>
      <c r="D39" s="175">
        <v>520</v>
      </c>
      <c r="E39" s="176">
        <v>45993</v>
      </c>
      <c r="F39" s="343">
        <v>11.3</v>
      </c>
      <c r="G39" s="177">
        <v>62</v>
      </c>
      <c r="H39" s="178" t="s">
        <v>18</v>
      </c>
      <c r="I39" s="178" t="s">
        <v>19</v>
      </c>
      <c r="J39" s="178"/>
      <c r="K39" s="175" t="s">
        <v>20</v>
      </c>
      <c r="L39" s="175"/>
      <c r="M39" s="179"/>
      <c r="N39" s="180"/>
      <c r="O39" s="181"/>
      <c r="P39" s="364"/>
      <c r="Q39" s="13"/>
    </row>
    <row r="40" spans="1:17" ht="19.5" customHeight="1" thickBot="1" x14ac:dyDescent="0.3">
      <c r="A40" s="49"/>
      <c r="B40" s="174">
        <f t="shared" si="4"/>
        <v>2026</v>
      </c>
      <c r="C40" s="166">
        <f>C3</f>
        <v>12</v>
      </c>
      <c r="D40" s="175">
        <v>801</v>
      </c>
      <c r="E40" s="176">
        <v>45994</v>
      </c>
      <c r="F40" s="343">
        <v>10.7</v>
      </c>
      <c r="G40" s="177">
        <v>87</v>
      </c>
      <c r="H40" s="178" t="s">
        <v>18</v>
      </c>
      <c r="I40" s="178" t="s">
        <v>19</v>
      </c>
      <c r="J40" s="178"/>
      <c r="K40" s="175" t="s">
        <v>20</v>
      </c>
      <c r="L40" s="175"/>
      <c r="M40" s="179"/>
      <c r="N40" s="180"/>
      <c r="O40" s="181"/>
      <c r="P40" s="364"/>
      <c r="Q40" s="13"/>
    </row>
    <row r="41" spans="1:17" ht="19.5" customHeight="1" thickBot="1" x14ac:dyDescent="0.3">
      <c r="A41" s="49"/>
      <c r="B41" s="182">
        <f t="shared" si="4"/>
        <v>2026</v>
      </c>
      <c r="C41" s="183">
        <f>C3</f>
        <v>12</v>
      </c>
      <c r="D41" s="184">
        <v>804</v>
      </c>
      <c r="E41" s="185">
        <v>45993</v>
      </c>
      <c r="F41" s="344">
        <v>9.4</v>
      </c>
      <c r="G41" s="186">
        <v>77</v>
      </c>
      <c r="H41" s="187" t="s">
        <v>18</v>
      </c>
      <c r="I41" s="187" t="s">
        <v>19</v>
      </c>
      <c r="J41" s="187"/>
      <c r="K41" s="184" t="s">
        <v>20</v>
      </c>
      <c r="L41" s="184"/>
      <c r="M41" s="188"/>
      <c r="N41" s="189"/>
      <c r="O41" s="190"/>
      <c r="P41" s="364"/>
      <c r="Q41" s="13"/>
    </row>
    <row r="42" spans="1:17" ht="19.5" customHeight="1" x14ac:dyDescent="0.25">
      <c r="A42" s="49"/>
      <c r="B42" s="191">
        <f t="shared" si="4"/>
        <v>2026</v>
      </c>
      <c r="C42" s="192">
        <f>C3</f>
        <v>12</v>
      </c>
      <c r="D42" s="193">
        <v>703</v>
      </c>
      <c r="E42" s="194">
        <v>45993</v>
      </c>
      <c r="F42" s="345">
        <v>7.9</v>
      </c>
      <c r="G42" s="195">
        <v>56</v>
      </c>
      <c r="H42" s="196" t="s">
        <v>18</v>
      </c>
      <c r="I42" s="197" t="s">
        <v>19</v>
      </c>
      <c r="J42" s="197"/>
      <c r="K42" s="193" t="s">
        <v>20</v>
      </c>
      <c r="L42" s="193"/>
      <c r="M42" s="198"/>
      <c r="N42" s="199"/>
      <c r="O42" s="200"/>
      <c r="P42" s="365" t="s">
        <v>41</v>
      </c>
      <c r="Q42" s="13"/>
    </row>
    <row r="43" spans="1:17" ht="19.5" customHeight="1" x14ac:dyDescent="0.25">
      <c r="A43" s="49"/>
      <c r="B43" s="201">
        <f t="shared" si="4"/>
        <v>2026</v>
      </c>
      <c r="C43" s="202">
        <f>C3</f>
        <v>12</v>
      </c>
      <c r="D43" s="203">
        <v>704</v>
      </c>
      <c r="E43" s="204">
        <v>45993</v>
      </c>
      <c r="F43" s="346">
        <v>12.2</v>
      </c>
      <c r="G43" s="205">
        <v>39</v>
      </c>
      <c r="H43" s="196" t="s">
        <v>18</v>
      </c>
      <c r="I43" s="206" t="s">
        <v>19</v>
      </c>
      <c r="J43" s="206"/>
      <c r="K43" s="203" t="s">
        <v>20</v>
      </c>
      <c r="L43" s="203"/>
      <c r="M43" s="207"/>
      <c r="N43" s="208"/>
      <c r="O43" s="209"/>
      <c r="P43" s="366"/>
      <c r="Q43" s="13"/>
    </row>
    <row r="44" spans="1:17" ht="19.5" customHeight="1" x14ac:dyDescent="0.25">
      <c r="A44" s="49"/>
      <c r="B44" s="201">
        <f t="shared" si="4"/>
        <v>2026</v>
      </c>
      <c r="C44" s="202">
        <f>C3</f>
        <v>12</v>
      </c>
      <c r="D44" s="203">
        <v>705</v>
      </c>
      <c r="E44" s="204">
        <v>45993</v>
      </c>
      <c r="F44" s="346">
        <v>9.5</v>
      </c>
      <c r="G44" s="205">
        <v>85</v>
      </c>
      <c r="H44" s="196" t="s">
        <v>18</v>
      </c>
      <c r="I44" s="206" t="s">
        <v>19</v>
      </c>
      <c r="J44" s="206"/>
      <c r="K44" s="203" t="s">
        <v>20</v>
      </c>
      <c r="L44" s="203"/>
      <c r="M44" s="207"/>
      <c r="N44" s="208"/>
      <c r="O44" s="209"/>
      <c r="P44" s="366"/>
      <c r="Q44" s="13"/>
    </row>
    <row r="45" spans="1:17" ht="19.5" customHeight="1" x14ac:dyDescent="0.25">
      <c r="A45" s="49"/>
      <c r="B45" s="201">
        <f t="shared" si="4"/>
        <v>2026</v>
      </c>
      <c r="C45" s="202">
        <f>C3</f>
        <v>12</v>
      </c>
      <c r="D45" s="203">
        <v>706</v>
      </c>
      <c r="E45" s="204">
        <v>45993</v>
      </c>
      <c r="F45" s="346">
        <v>15.7</v>
      </c>
      <c r="G45" s="205">
        <v>36</v>
      </c>
      <c r="H45" s="196" t="s">
        <v>18</v>
      </c>
      <c r="I45" s="206" t="s">
        <v>19</v>
      </c>
      <c r="J45" s="206"/>
      <c r="K45" s="203" t="s">
        <v>20</v>
      </c>
      <c r="L45" s="203"/>
      <c r="M45" s="207"/>
      <c r="N45" s="208"/>
      <c r="O45" s="209"/>
      <c r="P45" s="366"/>
      <c r="Q45" s="13"/>
    </row>
    <row r="46" spans="1:17" ht="19.5" customHeight="1" x14ac:dyDescent="0.25">
      <c r="A46" s="49"/>
      <c r="B46" s="201">
        <f t="shared" si="4"/>
        <v>2026</v>
      </c>
      <c r="C46" s="202">
        <f>C3</f>
        <v>12</v>
      </c>
      <c r="D46" s="203">
        <v>707</v>
      </c>
      <c r="E46" s="204">
        <v>45993</v>
      </c>
      <c r="F46" s="346">
        <v>10.7</v>
      </c>
      <c r="G46" s="205">
        <v>68</v>
      </c>
      <c r="H46" s="196" t="s">
        <v>18</v>
      </c>
      <c r="I46" s="206" t="s">
        <v>19</v>
      </c>
      <c r="J46" s="206"/>
      <c r="K46" s="203" t="s">
        <v>20</v>
      </c>
      <c r="L46" s="203"/>
      <c r="M46" s="207"/>
      <c r="N46" s="208"/>
      <c r="O46" s="209"/>
      <c r="P46" s="366"/>
      <c r="Q46" s="13"/>
    </row>
    <row r="47" spans="1:17" ht="19.5" customHeight="1" x14ac:dyDescent="0.25">
      <c r="A47" s="49"/>
      <c r="B47" s="201">
        <f t="shared" si="4"/>
        <v>2026</v>
      </c>
      <c r="C47" s="202">
        <f>C3</f>
        <v>12</v>
      </c>
      <c r="D47" s="203">
        <v>711</v>
      </c>
      <c r="E47" s="204">
        <v>45993</v>
      </c>
      <c r="F47" s="346">
        <v>5.9</v>
      </c>
      <c r="G47" s="205">
        <v>145</v>
      </c>
      <c r="H47" s="196" t="s">
        <v>18</v>
      </c>
      <c r="I47" s="206" t="s">
        <v>19</v>
      </c>
      <c r="J47" s="206"/>
      <c r="K47" s="203" t="s">
        <v>20</v>
      </c>
      <c r="L47" s="203"/>
      <c r="M47" s="207"/>
      <c r="N47" s="208"/>
      <c r="O47" s="209"/>
      <c r="P47" s="366"/>
      <c r="Q47" s="13"/>
    </row>
    <row r="48" spans="1:17" ht="19.5" customHeight="1" x14ac:dyDescent="0.25">
      <c r="A48" s="49"/>
      <c r="B48" s="210">
        <f t="shared" si="4"/>
        <v>2026</v>
      </c>
      <c r="C48" s="210">
        <f>C3</f>
        <v>12</v>
      </c>
      <c r="D48" s="211">
        <v>716</v>
      </c>
      <c r="E48" s="212">
        <v>45993</v>
      </c>
      <c r="F48" s="347">
        <v>6.3</v>
      </c>
      <c r="G48" s="213">
        <v>115</v>
      </c>
      <c r="H48" s="214" t="s">
        <v>18</v>
      </c>
      <c r="I48" s="213" t="s">
        <v>19</v>
      </c>
      <c r="J48" s="213"/>
      <c r="K48" s="211" t="s">
        <v>20</v>
      </c>
      <c r="L48" s="211"/>
      <c r="M48" s="215"/>
      <c r="N48" s="216"/>
      <c r="O48" s="217"/>
      <c r="P48" s="366"/>
      <c r="Q48" s="13"/>
    </row>
    <row r="49" spans="1:17" ht="19.5" customHeight="1" thickBot="1" x14ac:dyDescent="0.3">
      <c r="A49" s="49"/>
      <c r="B49" s="201">
        <f t="shared" si="4"/>
        <v>2026</v>
      </c>
      <c r="C49" s="202">
        <f>C3</f>
        <v>12</v>
      </c>
      <c r="D49" s="203">
        <v>723</v>
      </c>
      <c r="E49" s="204">
        <v>45993</v>
      </c>
      <c r="F49" s="346">
        <v>5.8</v>
      </c>
      <c r="G49" s="205">
        <v>120</v>
      </c>
      <c r="H49" s="196" t="s">
        <v>18</v>
      </c>
      <c r="I49" s="205" t="s">
        <v>19</v>
      </c>
      <c r="J49" s="206"/>
      <c r="K49" s="196" t="s">
        <v>20</v>
      </c>
      <c r="L49" s="196"/>
      <c r="M49" s="218"/>
      <c r="N49" s="219"/>
      <c r="O49" s="220"/>
      <c r="P49" s="367"/>
      <c r="Q49" s="13"/>
    </row>
    <row r="50" spans="1:17" ht="19.5" customHeight="1" thickBot="1" x14ac:dyDescent="0.3">
      <c r="A50" s="49"/>
      <c r="B50" s="221">
        <v>2026</v>
      </c>
      <c r="C50" s="222">
        <f>C3</f>
        <v>12</v>
      </c>
      <c r="D50" s="223">
        <v>809</v>
      </c>
      <c r="E50" s="224">
        <v>45992</v>
      </c>
      <c r="F50" s="348">
        <v>5.0999999999999996</v>
      </c>
      <c r="G50" s="225">
        <v>122</v>
      </c>
      <c r="H50" s="223" t="s">
        <v>18</v>
      </c>
      <c r="I50" s="226" t="s">
        <v>19</v>
      </c>
      <c r="J50" s="226"/>
      <c r="K50" s="223" t="s">
        <v>20</v>
      </c>
      <c r="L50" s="223"/>
      <c r="M50" s="227"/>
      <c r="N50" s="228"/>
      <c r="O50" s="229"/>
      <c r="P50" s="357" t="s">
        <v>35</v>
      </c>
      <c r="Q50" s="13"/>
    </row>
    <row r="51" spans="1:17" ht="19.5" customHeight="1" thickBot="1" x14ac:dyDescent="0.3">
      <c r="A51" s="49"/>
      <c r="B51" s="230">
        <f t="shared" si="4"/>
        <v>2026</v>
      </c>
      <c r="C51" s="231">
        <f>C3</f>
        <v>12</v>
      </c>
      <c r="D51" s="232">
        <v>812</v>
      </c>
      <c r="E51" s="233">
        <v>45992</v>
      </c>
      <c r="F51" s="349">
        <v>4.8</v>
      </c>
      <c r="G51" s="234">
        <v>109</v>
      </c>
      <c r="H51" s="232" t="s">
        <v>18</v>
      </c>
      <c r="I51" s="235" t="s">
        <v>19</v>
      </c>
      <c r="J51" s="235"/>
      <c r="K51" s="232" t="s">
        <v>20</v>
      </c>
      <c r="L51" s="232"/>
      <c r="M51" s="236"/>
      <c r="N51" s="237"/>
      <c r="O51" s="238"/>
      <c r="P51" s="357"/>
      <c r="Q51" s="13"/>
    </row>
    <row r="52" spans="1:17" ht="19.5" customHeight="1" thickBot="1" x14ac:dyDescent="0.3">
      <c r="A52" s="49"/>
      <c r="B52" s="239">
        <f t="shared" si="4"/>
        <v>2026</v>
      </c>
      <c r="C52" s="240">
        <f>C3</f>
        <v>12</v>
      </c>
      <c r="D52" s="241">
        <v>815</v>
      </c>
      <c r="E52" s="242">
        <v>45992</v>
      </c>
      <c r="F52" s="350">
        <v>4.2</v>
      </c>
      <c r="G52" s="243">
        <v>114</v>
      </c>
      <c r="H52" s="244" t="s">
        <v>18</v>
      </c>
      <c r="I52" s="245" t="s">
        <v>19</v>
      </c>
      <c r="J52" s="245"/>
      <c r="K52" s="241" t="s">
        <v>20</v>
      </c>
      <c r="L52" s="241"/>
      <c r="M52" s="246"/>
      <c r="N52" s="247"/>
      <c r="O52" s="248"/>
      <c r="P52" s="357"/>
      <c r="Q52" s="13"/>
    </row>
    <row r="53" spans="1:17" ht="19.5" customHeight="1" thickBot="1" x14ac:dyDescent="0.3">
      <c r="A53" s="49"/>
      <c r="B53" s="239">
        <f t="shared" si="4"/>
        <v>2026</v>
      </c>
      <c r="C53" s="240">
        <f>C3</f>
        <v>12</v>
      </c>
      <c r="D53" s="241">
        <v>901</v>
      </c>
      <c r="E53" s="249">
        <v>45992</v>
      </c>
      <c r="F53" s="351">
        <v>1.4</v>
      </c>
      <c r="G53" s="243">
        <v>132</v>
      </c>
      <c r="H53" s="244" t="s">
        <v>18</v>
      </c>
      <c r="I53" s="245" t="s">
        <v>19</v>
      </c>
      <c r="J53" s="245"/>
      <c r="K53" s="241" t="s">
        <v>20</v>
      </c>
      <c r="L53" s="241"/>
      <c r="M53" s="246"/>
      <c r="N53" s="247"/>
      <c r="O53" s="248"/>
      <c r="P53" s="357"/>
      <c r="Q53" s="13"/>
    </row>
    <row r="54" spans="1:17" ht="19.5" customHeight="1" thickBot="1" x14ac:dyDescent="0.3">
      <c r="A54" s="49"/>
      <c r="B54" s="239">
        <f t="shared" si="4"/>
        <v>2026</v>
      </c>
      <c r="C54" s="240">
        <f>C3</f>
        <v>12</v>
      </c>
      <c r="D54" s="241">
        <v>902</v>
      </c>
      <c r="E54" s="249">
        <v>45992</v>
      </c>
      <c r="F54" s="351">
        <v>1.4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1"/>
      <c r="M54" s="246"/>
      <c r="N54" s="247"/>
      <c r="O54" s="248"/>
      <c r="P54" s="357"/>
      <c r="Q54" s="13"/>
    </row>
    <row r="55" spans="1:17" ht="19.5" customHeight="1" thickBot="1" x14ac:dyDescent="0.3">
      <c r="A55" s="49"/>
      <c r="B55" s="239">
        <f t="shared" si="4"/>
        <v>2026</v>
      </c>
      <c r="C55" s="240">
        <f>C3</f>
        <v>12</v>
      </c>
      <c r="D55" s="241">
        <v>906</v>
      </c>
      <c r="E55" s="249">
        <v>45992</v>
      </c>
      <c r="F55" s="351"/>
      <c r="G55" s="243">
        <v>141</v>
      </c>
      <c r="H55" s="244" t="s">
        <v>18</v>
      </c>
      <c r="I55" s="245" t="s">
        <v>19</v>
      </c>
      <c r="J55" s="245"/>
      <c r="K55" s="241" t="s">
        <v>20</v>
      </c>
      <c r="L55" s="241"/>
      <c r="M55" s="246"/>
      <c r="N55" s="247"/>
      <c r="O55" s="248"/>
      <c r="P55" s="357"/>
      <c r="Q55" s="13"/>
    </row>
    <row r="56" spans="1:17" ht="19.5" customHeight="1" thickBot="1" x14ac:dyDescent="0.3">
      <c r="A56" s="49"/>
      <c r="B56" s="239">
        <f t="shared" si="4"/>
        <v>2026</v>
      </c>
      <c r="C56" s="240">
        <f>C3</f>
        <v>12</v>
      </c>
      <c r="D56" s="241">
        <v>910</v>
      </c>
      <c r="E56" s="249">
        <v>45992</v>
      </c>
      <c r="F56" s="351">
        <v>1.6</v>
      </c>
      <c r="G56" s="243">
        <v>200</v>
      </c>
      <c r="H56" s="244" t="s">
        <v>18</v>
      </c>
      <c r="I56" s="245" t="s">
        <v>19</v>
      </c>
      <c r="J56" s="245"/>
      <c r="K56" s="241" t="s">
        <v>20</v>
      </c>
      <c r="L56" s="241"/>
      <c r="M56" s="246"/>
      <c r="N56" s="247"/>
      <c r="O56" s="248"/>
      <c r="P56" s="357"/>
      <c r="Q56" s="13"/>
    </row>
    <row r="57" spans="1:17" ht="19.5" customHeight="1" thickBot="1" x14ac:dyDescent="0.3">
      <c r="A57" s="49"/>
      <c r="B57" s="239">
        <f t="shared" si="4"/>
        <v>2026</v>
      </c>
      <c r="C57" s="240">
        <f>C3</f>
        <v>12</v>
      </c>
      <c r="D57" s="241">
        <v>912</v>
      </c>
      <c r="E57" s="249">
        <v>45992</v>
      </c>
      <c r="F57" s="351">
        <v>3.6</v>
      </c>
      <c r="G57" s="243">
        <v>151</v>
      </c>
      <c r="H57" s="244" t="s">
        <v>18</v>
      </c>
      <c r="I57" s="245" t="s">
        <v>19</v>
      </c>
      <c r="J57" s="245"/>
      <c r="K57" s="241" t="s">
        <v>20</v>
      </c>
      <c r="L57" s="241"/>
      <c r="M57" s="246"/>
      <c r="N57" s="247"/>
      <c r="O57" s="248"/>
      <c r="P57" s="357"/>
      <c r="Q57" s="13"/>
    </row>
    <row r="58" spans="1:17" ht="19.5" customHeight="1" thickBot="1" x14ac:dyDescent="0.3">
      <c r="A58" s="49"/>
      <c r="B58" s="239">
        <f t="shared" si="4"/>
        <v>2026</v>
      </c>
      <c r="C58" s="240">
        <f>C3</f>
        <v>12</v>
      </c>
      <c r="D58" s="241">
        <v>914</v>
      </c>
      <c r="E58" s="249">
        <v>45992</v>
      </c>
      <c r="F58" s="351"/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1"/>
      <c r="M58" s="246"/>
      <c r="N58" s="247"/>
      <c r="O58" s="248"/>
      <c r="P58" s="357"/>
      <c r="Q58" s="13"/>
    </row>
    <row r="59" spans="1:17" ht="19.5" customHeight="1" thickBot="1" x14ac:dyDescent="0.3">
      <c r="A59" s="49"/>
      <c r="B59" s="239">
        <f t="shared" si="4"/>
        <v>2026</v>
      </c>
      <c r="C59" s="240">
        <f>C3</f>
        <v>12</v>
      </c>
      <c r="D59" s="241">
        <v>915</v>
      </c>
      <c r="E59" s="249">
        <v>45992</v>
      </c>
      <c r="F59" s="351"/>
      <c r="G59" s="243">
        <v>200</v>
      </c>
      <c r="H59" s="244" t="s">
        <v>18</v>
      </c>
      <c r="I59" s="245" t="s">
        <v>19</v>
      </c>
      <c r="J59" s="245"/>
      <c r="K59" s="241" t="s">
        <v>20</v>
      </c>
      <c r="L59" s="241"/>
      <c r="M59" s="246"/>
      <c r="N59" s="247"/>
      <c r="O59" s="248"/>
      <c r="P59" s="357"/>
      <c r="Q59" s="13"/>
    </row>
    <row r="60" spans="1:17" ht="19.5" customHeight="1" thickBot="1" x14ac:dyDescent="0.3">
      <c r="A60" s="49"/>
      <c r="B60" s="239">
        <f t="shared" si="4"/>
        <v>2026</v>
      </c>
      <c r="C60" s="240">
        <f>C3</f>
        <v>12</v>
      </c>
      <c r="D60" s="241">
        <v>918</v>
      </c>
      <c r="E60" s="249">
        <v>45992</v>
      </c>
      <c r="F60" s="351">
        <v>2.4</v>
      </c>
      <c r="G60" s="243">
        <v>200</v>
      </c>
      <c r="H60" s="244" t="s">
        <v>18</v>
      </c>
      <c r="I60" s="245" t="s">
        <v>19</v>
      </c>
      <c r="J60" s="245"/>
      <c r="K60" s="241" t="s">
        <v>20</v>
      </c>
      <c r="L60" s="241"/>
      <c r="M60" s="246"/>
      <c r="N60" s="247"/>
      <c r="O60" s="248"/>
      <c r="P60" s="357"/>
      <c r="Q60" s="13"/>
    </row>
    <row r="61" spans="1:17" ht="19.5" customHeight="1" thickBot="1" x14ac:dyDescent="0.3">
      <c r="A61" s="49"/>
      <c r="B61" s="250">
        <f t="shared" si="4"/>
        <v>2026</v>
      </c>
      <c r="C61" s="251">
        <f>C3</f>
        <v>12</v>
      </c>
      <c r="D61" s="252">
        <v>919</v>
      </c>
      <c r="E61" s="253">
        <v>45992</v>
      </c>
      <c r="F61" s="352"/>
      <c r="G61" s="254">
        <v>151</v>
      </c>
      <c r="H61" s="244" t="s">
        <v>18</v>
      </c>
      <c r="I61" s="255" t="s">
        <v>19</v>
      </c>
      <c r="J61" s="255"/>
      <c r="K61" s="252" t="s">
        <v>20</v>
      </c>
      <c r="L61" s="252"/>
      <c r="M61" s="256"/>
      <c r="N61" s="257"/>
      <c r="O61" s="258"/>
      <c r="P61" s="357"/>
      <c r="Q61" s="13"/>
    </row>
    <row r="62" spans="1:17" ht="19.5" customHeight="1" x14ac:dyDescent="0.25">
      <c r="A62" s="49"/>
      <c r="B62" s="4" t="s">
        <v>24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25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26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22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42</v>
      </c>
      <c r="I69" s="14">
        <v>59</v>
      </c>
      <c r="Q69" s="45"/>
    </row>
    <row r="70" spans="1:30" ht="15" customHeight="1" x14ac:dyDescent="0.2">
      <c r="H70" s="41" t="s">
        <v>43</v>
      </c>
      <c r="I70" s="14">
        <v>59</v>
      </c>
    </row>
    <row r="71" spans="1:30" ht="15" customHeight="1" x14ac:dyDescent="0.2">
      <c r="H71" s="41" t="s">
        <v>44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0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0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0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0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0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0</v>
      </c>
      <c r="J78" s="47"/>
      <c r="M78" s="43"/>
      <c r="N78" s="43"/>
      <c r="O78" s="43"/>
    </row>
    <row r="79" spans="1:30" x14ac:dyDescent="0.2">
      <c r="H79" s="47" t="s">
        <v>45</v>
      </c>
      <c r="I79" s="43">
        <f>SUM(J50:J51)</f>
        <v>0</v>
      </c>
      <c r="J79" s="47"/>
      <c r="M79" s="43"/>
      <c r="N79" s="43"/>
      <c r="O79" s="43"/>
    </row>
    <row r="80" spans="1:30" x14ac:dyDescent="0.2">
      <c r="H80" s="47" t="s">
        <v>46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0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J3:J61" xr:uid="{F1B5A883-A3DC-4155-BC2A-09046BD98177}">
      <formula1>"Preliminary, Complete"</formula1>
    </dataValidation>
    <dataValidation type="list" allowBlank="1" showInputMessage="1" showErrorMessage="1" sqref="H3:H61" xr:uid="{4CA548D8-B933-48D3-92F6-F1E3F2B16DBC}">
      <formula1>"Not Processed, No Smelt Catch, Dropped, Longfin Smelt, Delta Smelt"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6A0D-AE8B-4D51-9F28-059DCE6F2763}">
  <dimension ref="A1:AD81"/>
  <sheetViews>
    <sheetView topLeftCell="A54" workbookViewId="0">
      <selection activeCell="G74" sqref="G74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36</v>
      </c>
      <c r="D2" s="50" t="s">
        <v>37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13</v>
      </c>
      <c r="D3" s="55">
        <v>306</v>
      </c>
      <c r="E3" s="56">
        <v>46007</v>
      </c>
      <c r="F3" s="334">
        <v>7.1</v>
      </c>
      <c r="G3" s="57">
        <v>62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58" t="s">
        <v>38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13</v>
      </c>
      <c r="D4" s="64">
        <v>308</v>
      </c>
      <c r="E4" s="65">
        <v>46007</v>
      </c>
      <c r="F4" s="70">
        <v>5.8</v>
      </c>
      <c r="G4" s="66">
        <v>81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58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13</v>
      </c>
      <c r="D5" s="62">
        <v>311</v>
      </c>
      <c r="E5" s="72">
        <v>46007</v>
      </c>
      <c r="F5" s="77">
        <v>4.5</v>
      </c>
      <c r="G5" s="73">
        <v>90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58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13</v>
      </c>
      <c r="D6" s="62">
        <v>315</v>
      </c>
      <c r="E6" s="72">
        <v>46007</v>
      </c>
      <c r="F6" s="77">
        <v>9.6999999999999993</v>
      </c>
      <c r="G6" s="73">
        <v>57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58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13</v>
      </c>
      <c r="D7" s="62">
        <v>322</v>
      </c>
      <c r="E7" s="72">
        <v>46007</v>
      </c>
      <c r="F7" s="77">
        <v>7.6</v>
      </c>
      <c r="G7" s="73">
        <v>67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58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13</v>
      </c>
      <c r="D8" s="62">
        <v>323</v>
      </c>
      <c r="E8" s="72">
        <v>46007</v>
      </c>
      <c r="F8" s="77">
        <v>8</v>
      </c>
      <c r="G8" s="73">
        <v>75</v>
      </c>
      <c r="H8" s="74" t="s">
        <v>18</v>
      </c>
      <c r="I8" s="75" t="s">
        <v>19</v>
      </c>
      <c r="J8" s="73"/>
      <c r="K8" s="62" t="s">
        <v>20</v>
      </c>
      <c r="L8" s="73"/>
      <c r="M8" s="261"/>
      <c r="N8" s="77"/>
      <c r="O8" s="286"/>
      <c r="P8" s="358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13</v>
      </c>
      <c r="D9" s="62">
        <v>327</v>
      </c>
      <c r="E9" s="72">
        <v>46007</v>
      </c>
      <c r="F9" s="77">
        <v>20.6</v>
      </c>
      <c r="G9" s="73">
        <v>39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58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13</v>
      </c>
      <c r="D10" s="62">
        <v>328</v>
      </c>
      <c r="E10" s="72">
        <v>46007</v>
      </c>
      <c r="F10" s="77">
        <v>9</v>
      </c>
      <c r="G10" s="73">
        <v>73</v>
      </c>
      <c r="H10" s="74" t="s">
        <v>18</v>
      </c>
      <c r="I10" s="75" t="s">
        <v>19</v>
      </c>
      <c r="J10" s="73"/>
      <c r="K10" s="62" t="s">
        <v>20</v>
      </c>
      <c r="L10" s="73"/>
      <c r="M10" s="261"/>
      <c r="N10" s="77"/>
      <c r="O10" s="286"/>
      <c r="P10" s="358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13</v>
      </c>
      <c r="D11" s="62">
        <v>329</v>
      </c>
      <c r="E11" s="72">
        <v>46007</v>
      </c>
      <c r="F11" s="77">
        <v>8.9</v>
      </c>
      <c r="G11" s="73">
        <v>68</v>
      </c>
      <c r="H11" s="74" t="s">
        <v>18</v>
      </c>
      <c r="I11" s="75" t="s">
        <v>19</v>
      </c>
      <c r="J11" s="73"/>
      <c r="K11" s="62" t="s">
        <v>20</v>
      </c>
      <c r="L11" s="73"/>
      <c r="M11" s="261"/>
      <c r="N11" s="77"/>
      <c r="O11" s="286"/>
      <c r="P11" s="358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13</v>
      </c>
      <c r="D12" s="62">
        <v>330</v>
      </c>
      <c r="E12" s="72">
        <v>46007</v>
      </c>
      <c r="F12" s="77">
        <v>6.1</v>
      </c>
      <c r="G12" s="73">
        <v>87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58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13</v>
      </c>
      <c r="D13" s="62">
        <v>335</v>
      </c>
      <c r="E13" s="72">
        <v>46007</v>
      </c>
      <c r="F13" s="77">
        <v>8.6999999999999993</v>
      </c>
      <c r="G13" s="73">
        <v>68</v>
      </c>
      <c r="H13" s="74" t="s">
        <v>18</v>
      </c>
      <c r="I13" s="75" t="s">
        <v>19</v>
      </c>
      <c r="J13" s="73"/>
      <c r="K13" s="62" t="s">
        <v>20</v>
      </c>
      <c r="L13" s="73"/>
      <c r="M13" s="261"/>
      <c r="N13" s="77"/>
      <c r="O13" s="286"/>
      <c r="P13" s="358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13</v>
      </c>
      <c r="D14" s="62">
        <v>336</v>
      </c>
      <c r="E14" s="72">
        <v>46007</v>
      </c>
      <c r="F14" s="77">
        <v>10.4</v>
      </c>
      <c r="G14" s="73">
        <v>67</v>
      </c>
      <c r="H14" s="74" t="s">
        <v>18</v>
      </c>
      <c r="I14" s="75" t="s">
        <v>19</v>
      </c>
      <c r="J14" s="73"/>
      <c r="K14" s="62" t="s">
        <v>20</v>
      </c>
      <c r="L14" s="73"/>
      <c r="M14" s="261"/>
      <c r="N14" s="77"/>
      <c r="O14" s="286"/>
      <c r="P14" s="358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13</v>
      </c>
      <c r="D15" s="79">
        <v>338</v>
      </c>
      <c r="E15" s="80">
        <v>46006</v>
      </c>
      <c r="F15" s="84">
        <v>5.7</v>
      </c>
      <c r="G15" s="81">
        <v>92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58"/>
      <c r="Q15" s="13"/>
    </row>
    <row r="16" spans="1:17" ht="19.5" customHeight="1" x14ac:dyDescent="0.25">
      <c r="A16" s="49"/>
      <c r="B16" s="86">
        <f>B15</f>
        <v>2026</v>
      </c>
      <c r="C16" s="87">
        <f>C3</f>
        <v>13</v>
      </c>
      <c r="D16" s="86">
        <v>340</v>
      </c>
      <c r="E16" s="88">
        <v>46006</v>
      </c>
      <c r="F16" s="335">
        <v>13.1</v>
      </c>
      <c r="G16" s="89">
        <v>68</v>
      </c>
      <c r="H16" s="86" t="s">
        <v>18</v>
      </c>
      <c r="I16" s="90" t="s">
        <v>19</v>
      </c>
      <c r="J16" s="90"/>
      <c r="K16" s="86" t="s">
        <v>20</v>
      </c>
      <c r="L16" s="90"/>
      <c r="M16" s="263"/>
      <c r="N16" s="92"/>
      <c r="O16" s="288"/>
      <c r="P16" s="359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13</v>
      </c>
      <c r="D17" s="95">
        <v>342</v>
      </c>
      <c r="E17" s="96">
        <v>46006</v>
      </c>
      <c r="F17" s="336">
        <v>10.4</v>
      </c>
      <c r="G17" s="97">
        <v>55</v>
      </c>
      <c r="H17" s="95" t="s">
        <v>18</v>
      </c>
      <c r="I17" s="98" t="s">
        <v>19</v>
      </c>
      <c r="J17" s="98"/>
      <c r="K17" s="95" t="s">
        <v>20</v>
      </c>
      <c r="L17" s="98"/>
      <c r="M17" s="264"/>
      <c r="N17" s="100"/>
      <c r="O17" s="289"/>
      <c r="P17" s="360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13</v>
      </c>
      <c r="D18" s="95">
        <v>343</v>
      </c>
      <c r="E18" s="96">
        <v>46006</v>
      </c>
      <c r="F18" s="336">
        <v>10.8</v>
      </c>
      <c r="G18" s="97">
        <v>71</v>
      </c>
      <c r="H18" s="95" t="s">
        <v>18</v>
      </c>
      <c r="I18" s="98" t="s">
        <v>19</v>
      </c>
      <c r="J18" s="98"/>
      <c r="K18" s="95" t="s">
        <v>20</v>
      </c>
      <c r="L18" s="98"/>
      <c r="M18" s="264"/>
      <c r="N18" s="100"/>
      <c r="O18" s="289"/>
      <c r="P18" s="360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13</v>
      </c>
      <c r="D19" s="95">
        <v>344</v>
      </c>
      <c r="E19" s="96">
        <v>46006</v>
      </c>
      <c r="F19" s="336">
        <v>9.3000000000000007</v>
      </c>
      <c r="G19" s="97">
        <v>63</v>
      </c>
      <c r="H19" s="95" t="s">
        <v>18</v>
      </c>
      <c r="I19" s="98" t="s">
        <v>19</v>
      </c>
      <c r="J19" s="98"/>
      <c r="K19" s="95" t="s">
        <v>20</v>
      </c>
      <c r="L19" s="98"/>
      <c r="M19" s="264"/>
      <c r="N19" s="100"/>
      <c r="O19" s="289"/>
      <c r="P19" s="360"/>
      <c r="Q19" s="13"/>
    </row>
    <row r="20" spans="1:17" ht="19.5" customHeight="1" x14ac:dyDescent="0.25">
      <c r="A20" s="49"/>
      <c r="B20" s="94">
        <f>B19</f>
        <v>2026</v>
      </c>
      <c r="C20" s="94">
        <f>C5</f>
        <v>13</v>
      </c>
      <c r="D20" s="95">
        <v>345</v>
      </c>
      <c r="E20" s="96">
        <v>46006</v>
      </c>
      <c r="F20" s="336">
        <v>8.1999999999999993</v>
      </c>
      <c r="G20" s="97">
        <v>77</v>
      </c>
      <c r="H20" s="95" t="s">
        <v>18</v>
      </c>
      <c r="I20" s="98" t="s">
        <v>19</v>
      </c>
      <c r="J20" s="98"/>
      <c r="K20" s="95" t="s">
        <v>20</v>
      </c>
      <c r="L20" s="98"/>
      <c r="M20" s="264"/>
      <c r="N20" s="100"/>
      <c r="O20" s="289"/>
      <c r="P20" s="360"/>
      <c r="Q20" s="13"/>
    </row>
    <row r="21" spans="1:17" ht="19.5" customHeight="1" x14ac:dyDescent="0.25">
      <c r="A21" s="49"/>
      <c r="B21" s="102">
        <f>B20</f>
        <v>2026</v>
      </c>
      <c r="C21" s="102">
        <f>C6</f>
        <v>13</v>
      </c>
      <c r="D21" s="103">
        <v>346</v>
      </c>
      <c r="E21" s="96">
        <v>46006</v>
      </c>
      <c r="F21" s="336">
        <v>5.2</v>
      </c>
      <c r="G21" s="97">
        <v>74</v>
      </c>
      <c r="H21" s="95" t="s">
        <v>18</v>
      </c>
      <c r="I21" s="98" t="s">
        <v>19</v>
      </c>
      <c r="J21" s="98"/>
      <c r="K21" s="95" t="s">
        <v>20</v>
      </c>
      <c r="L21" s="98"/>
      <c r="M21" s="264"/>
      <c r="N21" s="100"/>
      <c r="O21" s="289"/>
      <c r="P21" s="360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13</v>
      </c>
      <c r="D22" s="95">
        <v>347</v>
      </c>
      <c r="E22" s="105">
        <v>46006</v>
      </c>
      <c r="F22" s="337">
        <v>2.8</v>
      </c>
      <c r="G22" s="97">
        <v>168</v>
      </c>
      <c r="H22" s="95" t="s">
        <v>18</v>
      </c>
      <c r="I22" s="98" t="s">
        <v>19</v>
      </c>
      <c r="J22" s="98"/>
      <c r="K22" s="95" t="s">
        <v>20</v>
      </c>
      <c r="L22" s="98"/>
      <c r="M22" s="264"/>
      <c r="N22" s="100"/>
      <c r="O22" s="289"/>
      <c r="P22" s="360"/>
      <c r="Q22" s="13"/>
    </row>
    <row r="23" spans="1:17" ht="19.5" customHeight="1" x14ac:dyDescent="0.25">
      <c r="A23" s="49"/>
      <c r="B23" s="94">
        <f>B22</f>
        <v>2026</v>
      </c>
      <c r="C23" s="106">
        <f>C5</f>
        <v>13</v>
      </c>
      <c r="D23" s="107">
        <v>348</v>
      </c>
      <c r="E23" s="96">
        <v>46006</v>
      </c>
      <c r="F23" s="336">
        <v>2.4</v>
      </c>
      <c r="G23" s="97">
        <v>159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0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13</v>
      </c>
      <c r="D24" s="111">
        <v>349</v>
      </c>
      <c r="E24" s="112">
        <v>46006</v>
      </c>
      <c r="F24" s="338">
        <v>6.8</v>
      </c>
      <c r="G24" s="113">
        <v>136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1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13</v>
      </c>
      <c r="D25" s="118">
        <v>401</v>
      </c>
      <c r="E25" s="120">
        <v>46006</v>
      </c>
      <c r="F25" s="339">
        <v>6.9</v>
      </c>
      <c r="G25" s="121">
        <v>78</v>
      </c>
      <c r="H25" s="118" t="s">
        <v>18</v>
      </c>
      <c r="I25" s="122" t="s">
        <v>19</v>
      </c>
      <c r="J25" s="122"/>
      <c r="K25" s="118" t="s">
        <v>20</v>
      </c>
      <c r="L25" s="122"/>
      <c r="M25" s="266"/>
      <c r="N25" s="124"/>
      <c r="O25" s="292"/>
      <c r="P25" s="362" t="s">
        <v>39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13</v>
      </c>
      <c r="D26" s="127">
        <v>404</v>
      </c>
      <c r="E26" s="128">
        <v>46007</v>
      </c>
      <c r="F26" s="339">
        <v>7.6</v>
      </c>
      <c r="G26" s="121">
        <v>80</v>
      </c>
      <c r="H26" s="127" t="s">
        <v>18</v>
      </c>
      <c r="I26" s="129" t="s">
        <v>19</v>
      </c>
      <c r="J26" s="129"/>
      <c r="K26" s="127" t="s">
        <v>20</v>
      </c>
      <c r="L26" s="129"/>
      <c r="M26" s="267"/>
      <c r="N26" s="131"/>
      <c r="O26" s="293"/>
      <c r="P26" s="362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13</v>
      </c>
      <c r="D27" s="134">
        <v>405</v>
      </c>
      <c r="E27" s="135">
        <v>46007</v>
      </c>
      <c r="F27" s="138">
        <v>8.1999999999999993</v>
      </c>
      <c r="G27" s="136">
        <v>76</v>
      </c>
      <c r="H27" s="134" t="s">
        <v>18</v>
      </c>
      <c r="I27" s="136" t="s">
        <v>19</v>
      </c>
      <c r="J27" s="136"/>
      <c r="K27" s="134" t="s">
        <v>20</v>
      </c>
      <c r="L27" s="136"/>
      <c r="M27" s="268"/>
      <c r="N27" s="138"/>
      <c r="O27" s="294"/>
      <c r="P27" s="362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13</v>
      </c>
      <c r="D28" s="141">
        <v>411</v>
      </c>
      <c r="E28" s="142">
        <v>46008</v>
      </c>
      <c r="F28" s="145">
        <v>12.9</v>
      </c>
      <c r="G28" s="143">
        <v>68</v>
      </c>
      <c r="H28" s="141" t="s">
        <v>18</v>
      </c>
      <c r="I28" s="143" t="s">
        <v>19</v>
      </c>
      <c r="J28" s="143"/>
      <c r="K28" s="141" t="s">
        <v>20</v>
      </c>
      <c r="L28" s="143"/>
      <c r="M28" s="269"/>
      <c r="N28" s="145"/>
      <c r="O28" s="295"/>
      <c r="P28" s="363" t="s">
        <v>40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13</v>
      </c>
      <c r="D29" s="148">
        <v>418</v>
      </c>
      <c r="E29" s="149">
        <v>46008</v>
      </c>
      <c r="F29" s="152">
        <v>7.3</v>
      </c>
      <c r="G29" s="150">
        <v>77</v>
      </c>
      <c r="H29" s="148" t="s">
        <v>18</v>
      </c>
      <c r="I29" s="150" t="s">
        <v>19</v>
      </c>
      <c r="J29" s="150"/>
      <c r="K29" s="148" t="s">
        <v>20</v>
      </c>
      <c r="L29" s="150"/>
      <c r="M29" s="270"/>
      <c r="N29" s="152"/>
      <c r="O29" s="296"/>
      <c r="P29" s="363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13</v>
      </c>
      <c r="D30" s="148">
        <v>501</v>
      </c>
      <c r="E30" s="154">
        <v>46008</v>
      </c>
      <c r="F30" s="340">
        <v>22.8</v>
      </c>
      <c r="G30" s="155">
        <v>53</v>
      </c>
      <c r="H30" s="148" t="s">
        <v>18</v>
      </c>
      <c r="I30" s="150" t="s">
        <v>19</v>
      </c>
      <c r="J30" s="150"/>
      <c r="K30" s="148" t="s">
        <v>20</v>
      </c>
      <c r="L30" s="150"/>
      <c r="M30" s="270"/>
      <c r="N30" s="152"/>
      <c r="O30" s="296"/>
      <c r="P30" s="363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13</v>
      </c>
      <c r="D31" s="148">
        <v>504</v>
      </c>
      <c r="E31" s="149">
        <v>46008</v>
      </c>
      <c r="F31" s="152">
        <v>12.4</v>
      </c>
      <c r="G31" s="150">
        <v>53</v>
      </c>
      <c r="H31" s="148" t="s">
        <v>18</v>
      </c>
      <c r="I31" s="150" t="s">
        <v>19</v>
      </c>
      <c r="J31" s="150"/>
      <c r="K31" s="148" t="s">
        <v>20</v>
      </c>
      <c r="L31" s="150"/>
      <c r="M31" s="270"/>
      <c r="N31" s="152"/>
      <c r="O31" s="296"/>
      <c r="P31" s="363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13</v>
      </c>
      <c r="D32" s="148">
        <v>519</v>
      </c>
      <c r="E32" s="149">
        <v>46008</v>
      </c>
      <c r="F32" s="152">
        <v>19.7</v>
      </c>
      <c r="G32" s="150">
        <v>44</v>
      </c>
      <c r="H32" s="148" t="s">
        <v>18</v>
      </c>
      <c r="I32" s="150" t="s">
        <v>19</v>
      </c>
      <c r="J32" s="150"/>
      <c r="K32" s="148" t="s">
        <v>20</v>
      </c>
      <c r="L32" s="150"/>
      <c r="M32" s="270"/>
      <c r="N32" s="152"/>
      <c r="O32" s="296"/>
      <c r="P32" s="363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13</v>
      </c>
      <c r="D33" s="148">
        <v>602</v>
      </c>
      <c r="E33" s="154">
        <v>46008</v>
      </c>
      <c r="F33" s="340">
        <v>12.9</v>
      </c>
      <c r="G33" s="155">
        <v>64</v>
      </c>
      <c r="H33" s="148" t="s">
        <v>18</v>
      </c>
      <c r="I33" s="150" t="s">
        <v>19</v>
      </c>
      <c r="J33" s="150"/>
      <c r="K33" s="148" t="s">
        <v>20</v>
      </c>
      <c r="L33" s="150"/>
      <c r="M33" s="270"/>
      <c r="N33" s="152"/>
      <c r="O33" s="296"/>
      <c r="P33" s="363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13</v>
      </c>
      <c r="D34" s="148">
        <v>606</v>
      </c>
      <c r="E34" s="149">
        <v>46008</v>
      </c>
      <c r="F34" s="152">
        <v>14.6</v>
      </c>
      <c r="G34" s="150">
        <v>55</v>
      </c>
      <c r="H34" s="148" t="s">
        <v>18</v>
      </c>
      <c r="I34" s="150" t="s">
        <v>19</v>
      </c>
      <c r="J34" s="150"/>
      <c r="K34" s="148" t="s">
        <v>20</v>
      </c>
      <c r="L34" s="150"/>
      <c r="M34" s="270"/>
      <c r="N34" s="152"/>
      <c r="O34" s="296"/>
      <c r="P34" s="363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13</v>
      </c>
      <c r="D35" s="148">
        <v>609</v>
      </c>
      <c r="E35" s="149">
        <v>46008</v>
      </c>
      <c r="F35" s="152">
        <v>14.4</v>
      </c>
      <c r="G35" s="150">
        <v>52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3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13</v>
      </c>
      <c r="D36" s="158">
        <v>610</v>
      </c>
      <c r="E36" s="159">
        <v>46008</v>
      </c>
      <c r="F36" s="341">
        <v>16.7</v>
      </c>
      <c r="G36" s="160">
        <v>49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3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13</v>
      </c>
      <c r="D37" s="167">
        <v>508</v>
      </c>
      <c r="E37" s="168">
        <v>46008</v>
      </c>
      <c r="F37" s="342">
        <v>14.9</v>
      </c>
      <c r="G37" s="169">
        <v>49</v>
      </c>
      <c r="H37" s="170" t="s">
        <v>18</v>
      </c>
      <c r="I37" s="170" t="s">
        <v>19</v>
      </c>
      <c r="J37" s="170"/>
      <c r="K37" s="167" t="s">
        <v>20</v>
      </c>
      <c r="L37" s="170"/>
      <c r="M37" s="272"/>
      <c r="N37" s="172"/>
      <c r="O37" s="298"/>
      <c r="P37" s="364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13</v>
      </c>
      <c r="D38" s="175">
        <v>513</v>
      </c>
      <c r="E38" s="176">
        <v>46007</v>
      </c>
      <c r="F38" s="343">
        <v>10.1</v>
      </c>
      <c r="G38" s="177">
        <v>57</v>
      </c>
      <c r="H38" s="178" t="s">
        <v>18</v>
      </c>
      <c r="I38" s="178" t="s">
        <v>30</v>
      </c>
      <c r="J38" s="178">
        <v>1</v>
      </c>
      <c r="K38" s="175" t="s">
        <v>20</v>
      </c>
      <c r="L38" s="178">
        <v>6</v>
      </c>
      <c r="M38" s="273">
        <v>6</v>
      </c>
      <c r="N38" s="180">
        <v>6</v>
      </c>
      <c r="O38" s="299">
        <v>1</v>
      </c>
      <c r="P38" s="364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13</v>
      </c>
      <c r="D39" s="175">
        <v>520</v>
      </c>
      <c r="E39" s="176">
        <v>46007</v>
      </c>
      <c r="F39" s="343">
        <v>8.1999999999999993</v>
      </c>
      <c r="G39" s="177">
        <v>68</v>
      </c>
      <c r="H39" s="178" t="s">
        <v>18</v>
      </c>
      <c r="I39" s="178" t="s">
        <v>19</v>
      </c>
      <c r="J39" s="178"/>
      <c r="K39" s="175" t="s">
        <v>20</v>
      </c>
      <c r="L39" s="178"/>
      <c r="M39" s="273"/>
      <c r="N39" s="180"/>
      <c r="O39" s="299"/>
      <c r="P39" s="364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13</v>
      </c>
      <c r="D40" s="175">
        <v>801</v>
      </c>
      <c r="E40" s="176">
        <v>46008</v>
      </c>
      <c r="F40" s="343">
        <v>7.5</v>
      </c>
      <c r="G40" s="177">
        <v>79</v>
      </c>
      <c r="H40" s="178" t="s">
        <v>18</v>
      </c>
      <c r="I40" s="178" t="s">
        <v>19</v>
      </c>
      <c r="J40" s="178"/>
      <c r="K40" s="175" t="s">
        <v>20</v>
      </c>
      <c r="L40" s="178"/>
      <c r="M40" s="273"/>
      <c r="N40" s="180"/>
      <c r="O40" s="299"/>
      <c r="P40" s="364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13</v>
      </c>
      <c r="D41" s="184">
        <v>804</v>
      </c>
      <c r="E41" s="185">
        <v>46007</v>
      </c>
      <c r="F41" s="344">
        <v>9.6</v>
      </c>
      <c r="G41" s="186">
        <v>63</v>
      </c>
      <c r="H41" s="187" t="s">
        <v>18</v>
      </c>
      <c r="I41" s="187" t="s">
        <v>19</v>
      </c>
      <c r="J41" s="187"/>
      <c r="K41" s="184" t="s">
        <v>20</v>
      </c>
      <c r="L41" s="187"/>
      <c r="M41" s="274"/>
      <c r="N41" s="189"/>
      <c r="O41" s="300"/>
      <c r="P41" s="364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13</v>
      </c>
      <c r="D42" s="193">
        <v>703</v>
      </c>
      <c r="E42" s="194">
        <v>46007</v>
      </c>
      <c r="F42" s="345">
        <v>10.1</v>
      </c>
      <c r="G42" s="195">
        <v>67</v>
      </c>
      <c r="H42" s="196" t="s">
        <v>18</v>
      </c>
      <c r="I42" s="197" t="s">
        <v>30</v>
      </c>
      <c r="J42" s="197">
        <v>1</v>
      </c>
      <c r="K42" s="193" t="s">
        <v>20</v>
      </c>
      <c r="L42" s="197">
        <v>8</v>
      </c>
      <c r="M42" s="275">
        <v>8</v>
      </c>
      <c r="N42" s="199">
        <v>8</v>
      </c>
      <c r="O42" s="301">
        <v>1</v>
      </c>
      <c r="P42" s="365" t="s">
        <v>41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13</v>
      </c>
      <c r="D43" s="203">
        <v>704</v>
      </c>
      <c r="E43" s="204">
        <v>46007</v>
      </c>
      <c r="F43" s="346">
        <v>14.6</v>
      </c>
      <c r="G43" s="205">
        <v>53</v>
      </c>
      <c r="H43" s="196" t="s">
        <v>18</v>
      </c>
      <c r="I43" s="206" t="s">
        <v>19</v>
      </c>
      <c r="J43" s="206"/>
      <c r="K43" s="203" t="s">
        <v>20</v>
      </c>
      <c r="L43" s="206"/>
      <c r="M43" s="276"/>
      <c r="N43" s="208"/>
      <c r="O43" s="302"/>
      <c r="P43" s="366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13</v>
      </c>
      <c r="D44" s="203">
        <v>705</v>
      </c>
      <c r="E44" s="204">
        <v>46007</v>
      </c>
      <c r="F44" s="346">
        <v>4.5</v>
      </c>
      <c r="G44" s="205">
        <v>142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6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13</v>
      </c>
      <c r="D45" s="203">
        <v>706</v>
      </c>
      <c r="E45" s="204">
        <v>46007</v>
      </c>
      <c r="F45" s="346">
        <v>7.5</v>
      </c>
      <c r="G45" s="205">
        <v>73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6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13</v>
      </c>
      <c r="D46" s="203">
        <v>707</v>
      </c>
      <c r="E46" s="204">
        <v>46007</v>
      </c>
      <c r="F46" s="346">
        <v>4</v>
      </c>
      <c r="G46" s="205">
        <v>165</v>
      </c>
      <c r="H46" s="196" t="s">
        <v>18</v>
      </c>
      <c r="I46" s="206" t="s">
        <v>30</v>
      </c>
      <c r="J46" s="206">
        <v>1</v>
      </c>
      <c r="K46" s="203" t="s">
        <v>20</v>
      </c>
      <c r="L46" s="206">
        <v>6</v>
      </c>
      <c r="M46" s="276">
        <v>6</v>
      </c>
      <c r="N46" s="208">
        <v>6</v>
      </c>
      <c r="O46" s="302">
        <v>1</v>
      </c>
      <c r="P46" s="366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13</v>
      </c>
      <c r="D47" s="203">
        <v>711</v>
      </c>
      <c r="E47" s="204">
        <v>46007</v>
      </c>
      <c r="F47" s="346">
        <v>4.5</v>
      </c>
      <c r="G47" s="205">
        <v>200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6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13</v>
      </c>
      <c r="D48" s="211">
        <v>716</v>
      </c>
      <c r="E48" s="212">
        <v>46007</v>
      </c>
      <c r="F48" s="347">
        <v>3.8</v>
      </c>
      <c r="G48" s="213">
        <v>200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6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13</v>
      </c>
      <c r="D49" s="203">
        <v>723</v>
      </c>
      <c r="E49" s="204">
        <v>46007</v>
      </c>
      <c r="F49" s="346">
        <v>4.4000000000000004</v>
      </c>
      <c r="G49" s="205">
        <v>200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7"/>
      <c r="Q49" s="13"/>
    </row>
    <row r="50" spans="1:17" ht="19.5" customHeight="1" thickBot="1" x14ac:dyDescent="0.3">
      <c r="A50" s="49"/>
      <c r="B50" s="221">
        <v>2026</v>
      </c>
      <c r="C50" s="222">
        <f>C3</f>
        <v>13</v>
      </c>
      <c r="D50" s="223">
        <v>809</v>
      </c>
      <c r="E50" s="224">
        <v>46006</v>
      </c>
      <c r="F50" s="348">
        <v>4</v>
      </c>
      <c r="G50" s="225">
        <v>152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57" t="s">
        <v>35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13</v>
      </c>
      <c r="D51" s="232">
        <v>812</v>
      </c>
      <c r="E51" s="233">
        <v>46006</v>
      </c>
      <c r="F51" s="349">
        <v>4.4000000000000004</v>
      </c>
      <c r="G51" s="234">
        <v>150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7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13</v>
      </c>
      <c r="D52" s="241">
        <v>815</v>
      </c>
      <c r="E52" s="242">
        <v>46006</v>
      </c>
      <c r="F52" s="350">
        <v>3.5</v>
      </c>
      <c r="G52" s="243">
        <v>141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7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13</v>
      </c>
      <c r="D53" s="241" t="s">
        <v>27</v>
      </c>
      <c r="E53" s="249">
        <v>46006</v>
      </c>
      <c r="F53" s="351">
        <v>3.8</v>
      </c>
      <c r="G53" s="243">
        <v>135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7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13</v>
      </c>
      <c r="D54" s="241" t="s">
        <v>28</v>
      </c>
      <c r="E54" s="249">
        <v>46006</v>
      </c>
      <c r="F54" s="351">
        <v>1.8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7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13</v>
      </c>
      <c r="D55" s="241">
        <v>906</v>
      </c>
      <c r="E55" s="249">
        <v>46006</v>
      </c>
      <c r="F55" s="351">
        <v>7.2</v>
      </c>
      <c r="G55" s="243">
        <v>137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7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13</v>
      </c>
      <c r="D56" s="241">
        <v>910</v>
      </c>
      <c r="E56" s="249">
        <v>46006</v>
      </c>
      <c r="F56" s="351">
        <v>5.4</v>
      </c>
      <c r="G56" s="243">
        <v>130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7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13</v>
      </c>
      <c r="D57" s="241">
        <v>912</v>
      </c>
      <c r="E57" s="249">
        <v>46006</v>
      </c>
      <c r="F57" s="351">
        <v>11.7</v>
      </c>
      <c r="G57" s="243">
        <v>56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7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13</v>
      </c>
      <c r="D58" s="241">
        <v>914</v>
      </c>
      <c r="E58" s="249">
        <v>46006</v>
      </c>
      <c r="F58" s="351">
        <v>2.1</v>
      </c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7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13</v>
      </c>
      <c r="D59" s="241">
        <v>915</v>
      </c>
      <c r="E59" s="249">
        <v>46006</v>
      </c>
      <c r="F59" s="351">
        <v>1.9</v>
      </c>
      <c r="G59" s="243">
        <v>200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7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13</v>
      </c>
      <c r="D60" s="241">
        <v>918</v>
      </c>
      <c r="E60" s="249">
        <v>46006</v>
      </c>
      <c r="F60" s="351">
        <v>2.1</v>
      </c>
      <c r="G60" s="243">
        <v>200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7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13</v>
      </c>
      <c r="D61" s="252">
        <v>919</v>
      </c>
      <c r="E61" s="253">
        <v>46006</v>
      </c>
      <c r="F61" s="352">
        <v>3</v>
      </c>
      <c r="G61" s="254">
        <v>165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7"/>
      <c r="Q61" s="13"/>
    </row>
    <row r="62" spans="1:17" ht="19.5" customHeight="1" x14ac:dyDescent="0.25">
      <c r="A62" s="49"/>
      <c r="B62" s="4" t="s">
        <v>24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25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26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29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>
        <f>SUM(J3:J61)</f>
        <v>3</v>
      </c>
      <c r="L67" s="32">
        <f>MIN(L3:L61)</f>
        <v>6</v>
      </c>
      <c r="M67" s="33">
        <f>MAX(M3:M61)</f>
        <v>8</v>
      </c>
      <c r="N67" s="14"/>
      <c r="O67" s="33">
        <f>SUM(O3:O61)</f>
        <v>3</v>
      </c>
      <c r="P67" s="29"/>
      <c r="Q67" s="42"/>
    </row>
    <row r="68" spans="1:30" ht="19.5" customHeight="1" x14ac:dyDescent="0.2">
      <c r="G68" s="43">
        <f>AVERAGE(G50:G61)</f>
        <v>155.5</v>
      </c>
      <c r="Q68" s="44"/>
    </row>
    <row r="69" spans="1:30" ht="19.5" customHeight="1" x14ac:dyDescent="0.2">
      <c r="H69" s="41" t="s">
        <v>42</v>
      </c>
      <c r="I69" s="14">
        <v>59</v>
      </c>
      <c r="Q69" s="45"/>
    </row>
    <row r="70" spans="1:30" ht="15" customHeight="1" x14ac:dyDescent="0.2">
      <c r="H70" s="41" t="s">
        <v>43</v>
      </c>
      <c r="I70" s="14">
        <v>59</v>
      </c>
    </row>
    <row r="71" spans="1:30" ht="15" customHeight="1" x14ac:dyDescent="0.2">
      <c r="H71" s="41" t="s">
        <v>44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0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0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0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0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2</v>
      </c>
      <c r="J78" s="47"/>
      <c r="M78" s="43"/>
      <c r="N78" s="43"/>
      <c r="O78" s="43"/>
    </row>
    <row r="79" spans="1:30" x14ac:dyDescent="0.2">
      <c r="H79" s="47" t="s">
        <v>45</v>
      </c>
      <c r="I79" s="43">
        <f>SUM(J50:J51)</f>
        <v>0</v>
      </c>
      <c r="J79" s="47"/>
      <c r="M79" s="43"/>
      <c r="N79" s="43"/>
      <c r="O79" s="43"/>
    </row>
    <row r="80" spans="1:30" x14ac:dyDescent="0.2">
      <c r="H80" s="47" t="s">
        <v>46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3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H3:H61" xr:uid="{E7737AC0-22D6-473E-B2E1-0D10F9FAC705}">
      <formula1>"Not Processed, No Smelt Catch, Dropped, Longfin Smelt, Delta Smelt"</formula1>
    </dataValidation>
    <dataValidation type="list" allowBlank="1" showInputMessage="1" showErrorMessage="1" sqref="J3:J61" xr:uid="{C4B5E38C-F91C-4E28-8A2D-62D7B63AE319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2690-CF5E-4B8B-899D-F1AB5C9DE820}">
  <dimension ref="A1:AD81"/>
  <sheetViews>
    <sheetView topLeftCell="A51" workbookViewId="0">
      <selection activeCell="G68" sqref="G67:O68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36</v>
      </c>
      <c r="D2" s="50" t="s">
        <v>37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1</v>
      </c>
      <c r="D3" s="55">
        <v>306</v>
      </c>
      <c r="E3" s="56">
        <v>46020</v>
      </c>
      <c r="F3" s="334">
        <v>5.8</v>
      </c>
      <c r="G3" s="57">
        <v>81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58" t="s">
        <v>38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</v>
      </c>
      <c r="D4" s="64">
        <v>308</v>
      </c>
      <c r="E4" s="65">
        <v>46020</v>
      </c>
      <c r="F4" s="70">
        <v>5.4</v>
      </c>
      <c r="G4" s="66">
        <v>85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58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1</v>
      </c>
      <c r="D5" s="62">
        <v>311</v>
      </c>
      <c r="E5" s="72">
        <v>46020</v>
      </c>
      <c r="F5" s="77">
        <v>6.7</v>
      </c>
      <c r="G5" s="73">
        <v>73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58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1</v>
      </c>
      <c r="D6" s="62">
        <v>315</v>
      </c>
      <c r="E6" s="72">
        <v>46020</v>
      </c>
      <c r="F6" s="77">
        <v>5.3</v>
      </c>
      <c r="G6" s="73">
        <v>93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58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1</v>
      </c>
      <c r="D7" s="62">
        <v>322</v>
      </c>
      <c r="E7" s="72">
        <v>46020</v>
      </c>
      <c r="F7" s="77">
        <v>6.6</v>
      </c>
      <c r="G7" s="73">
        <v>80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58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1</v>
      </c>
      <c r="D8" s="62">
        <v>323</v>
      </c>
      <c r="E8" s="72">
        <v>46020</v>
      </c>
      <c r="F8" s="77">
        <v>23.2</v>
      </c>
      <c r="G8" s="73">
        <v>44</v>
      </c>
      <c r="H8" s="74" t="s">
        <v>18</v>
      </c>
      <c r="I8" s="75" t="s">
        <v>19</v>
      </c>
      <c r="J8" s="73"/>
      <c r="K8" s="62" t="s">
        <v>20</v>
      </c>
      <c r="L8" s="73"/>
      <c r="M8" s="261"/>
      <c r="N8" s="77"/>
      <c r="O8" s="286"/>
      <c r="P8" s="358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1</v>
      </c>
      <c r="D9" s="62">
        <v>327</v>
      </c>
      <c r="E9" s="72">
        <v>46020</v>
      </c>
      <c r="F9" s="77">
        <v>9.1999999999999993</v>
      </c>
      <c r="G9" s="73">
        <v>68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58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1</v>
      </c>
      <c r="D10" s="62">
        <v>328</v>
      </c>
      <c r="E10" s="72">
        <v>46020</v>
      </c>
      <c r="F10" s="77">
        <v>11</v>
      </c>
      <c r="G10" s="73">
        <v>73</v>
      </c>
      <c r="H10" s="74" t="s">
        <v>18</v>
      </c>
      <c r="I10" s="75" t="s">
        <v>19</v>
      </c>
      <c r="J10" s="73"/>
      <c r="K10" s="62" t="s">
        <v>20</v>
      </c>
      <c r="L10" s="73"/>
      <c r="M10" s="261"/>
      <c r="N10" s="77"/>
      <c r="O10" s="286"/>
      <c r="P10" s="358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1</v>
      </c>
      <c r="D11" s="62">
        <v>329</v>
      </c>
      <c r="E11" s="72">
        <v>46020</v>
      </c>
      <c r="F11" s="77">
        <v>12.8</v>
      </c>
      <c r="G11" s="73">
        <v>48</v>
      </c>
      <c r="H11" s="74" t="s">
        <v>18</v>
      </c>
      <c r="I11" s="75" t="s">
        <v>30</v>
      </c>
      <c r="J11" s="73">
        <v>2</v>
      </c>
      <c r="K11" s="62" t="s">
        <v>20</v>
      </c>
      <c r="L11" s="73">
        <v>7</v>
      </c>
      <c r="M11" s="261">
        <v>7</v>
      </c>
      <c r="N11" s="77">
        <v>7</v>
      </c>
      <c r="O11" s="286">
        <v>2</v>
      </c>
      <c r="P11" s="358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1</v>
      </c>
      <c r="D12" s="62">
        <v>330</v>
      </c>
      <c r="E12" s="72">
        <v>46020</v>
      </c>
      <c r="F12" s="77">
        <v>21.9</v>
      </c>
      <c r="G12" s="73">
        <v>43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58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1</v>
      </c>
      <c r="D13" s="62">
        <v>335</v>
      </c>
      <c r="E13" s="72">
        <v>46020</v>
      </c>
      <c r="F13" s="77">
        <v>12.9</v>
      </c>
      <c r="G13" s="73">
        <v>44</v>
      </c>
      <c r="H13" s="74" t="s">
        <v>18</v>
      </c>
      <c r="I13" s="75" t="s">
        <v>30</v>
      </c>
      <c r="J13" s="73">
        <v>3</v>
      </c>
      <c r="K13" s="62" t="s">
        <v>20</v>
      </c>
      <c r="L13" s="73">
        <v>7</v>
      </c>
      <c r="M13" s="261">
        <v>8</v>
      </c>
      <c r="N13" s="77">
        <v>7.3333333333333304</v>
      </c>
      <c r="O13" s="286">
        <v>2</v>
      </c>
      <c r="P13" s="358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1</v>
      </c>
      <c r="D14" s="62">
        <v>336</v>
      </c>
      <c r="E14" s="72">
        <v>46020</v>
      </c>
      <c r="F14" s="77">
        <v>11.6</v>
      </c>
      <c r="G14" s="73">
        <v>67</v>
      </c>
      <c r="H14" s="74" t="s">
        <v>18</v>
      </c>
      <c r="I14" s="75" t="s">
        <v>30</v>
      </c>
      <c r="J14" s="73">
        <v>1</v>
      </c>
      <c r="K14" s="62" t="s">
        <v>20</v>
      </c>
      <c r="L14" s="73">
        <v>7</v>
      </c>
      <c r="M14" s="261">
        <v>7</v>
      </c>
      <c r="N14" s="77">
        <v>7</v>
      </c>
      <c r="O14" s="286">
        <v>1</v>
      </c>
      <c r="P14" s="358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1</v>
      </c>
      <c r="D15" s="79">
        <v>338</v>
      </c>
      <c r="E15" s="80">
        <v>46021</v>
      </c>
      <c r="F15" s="84">
        <v>12</v>
      </c>
      <c r="G15" s="81">
        <v>57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58"/>
      <c r="Q15" s="13"/>
    </row>
    <row r="16" spans="1:17" ht="19.5" customHeight="1" x14ac:dyDescent="0.25">
      <c r="A16" s="49"/>
      <c r="B16" s="86">
        <f>B15</f>
        <v>2026</v>
      </c>
      <c r="C16" s="87">
        <f>C3</f>
        <v>1</v>
      </c>
      <c r="D16" s="86">
        <v>340</v>
      </c>
      <c r="E16" s="88">
        <v>46021</v>
      </c>
      <c r="F16" s="335">
        <v>21.9</v>
      </c>
      <c r="G16" s="89">
        <v>54</v>
      </c>
      <c r="H16" s="86" t="s">
        <v>18</v>
      </c>
      <c r="I16" s="90" t="s">
        <v>30</v>
      </c>
      <c r="J16" s="90">
        <v>4</v>
      </c>
      <c r="K16" s="86" t="s">
        <v>20</v>
      </c>
      <c r="L16" s="90">
        <v>5</v>
      </c>
      <c r="M16" s="263">
        <v>7</v>
      </c>
      <c r="N16" s="92">
        <v>6.5</v>
      </c>
      <c r="O16" s="288">
        <v>4</v>
      </c>
      <c r="P16" s="359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</v>
      </c>
      <c r="D17" s="95">
        <v>342</v>
      </c>
      <c r="E17" s="96">
        <v>46021</v>
      </c>
      <c r="F17" s="336">
        <v>12.3</v>
      </c>
      <c r="G17" s="97">
        <v>50</v>
      </c>
      <c r="H17" s="95" t="s">
        <v>18</v>
      </c>
      <c r="I17" s="98" t="s">
        <v>30</v>
      </c>
      <c r="J17" s="98">
        <v>3</v>
      </c>
      <c r="K17" s="95" t="s">
        <v>20</v>
      </c>
      <c r="L17" s="98">
        <v>7</v>
      </c>
      <c r="M17" s="264">
        <v>7</v>
      </c>
      <c r="N17" s="100">
        <v>7</v>
      </c>
      <c r="O17" s="289">
        <v>0</v>
      </c>
      <c r="P17" s="360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1</v>
      </c>
      <c r="D18" s="95">
        <v>343</v>
      </c>
      <c r="E18" s="96">
        <v>46021</v>
      </c>
      <c r="F18" s="336">
        <v>38.9</v>
      </c>
      <c r="G18" s="97">
        <v>38</v>
      </c>
      <c r="H18" s="95" t="s">
        <v>18</v>
      </c>
      <c r="I18" s="98" t="s">
        <v>30</v>
      </c>
      <c r="J18" s="98">
        <v>13</v>
      </c>
      <c r="K18" s="95" t="s">
        <v>20</v>
      </c>
      <c r="L18" s="98">
        <v>7</v>
      </c>
      <c r="M18" s="264">
        <v>8</v>
      </c>
      <c r="N18" s="100">
        <v>7.1538461538461497</v>
      </c>
      <c r="O18" s="289">
        <v>11</v>
      </c>
      <c r="P18" s="360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1</v>
      </c>
      <c r="D19" s="95">
        <v>344</v>
      </c>
      <c r="E19" s="96">
        <v>46021</v>
      </c>
      <c r="F19" s="336">
        <v>27.5</v>
      </c>
      <c r="G19" s="97">
        <v>37</v>
      </c>
      <c r="H19" s="95" t="s">
        <v>18</v>
      </c>
      <c r="I19" s="98" t="s">
        <v>30</v>
      </c>
      <c r="J19" s="98">
        <v>2</v>
      </c>
      <c r="K19" s="95" t="s">
        <v>20</v>
      </c>
      <c r="L19" s="98">
        <v>8</v>
      </c>
      <c r="M19" s="264">
        <v>9</v>
      </c>
      <c r="N19" s="100">
        <v>8.5</v>
      </c>
      <c r="O19" s="289">
        <v>0</v>
      </c>
      <c r="P19" s="360"/>
      <c r="Q19" s="13"/>
    </row>
    <row r="20" spans="1:17" ht="19.5" customHeight="1" x14ac:dyDescent="0.25">
      <c r="A20" s="49"/>
      <c r="B20" s="94">
        <f>B19</f>
        <v>2026</v>
      </c>
      <c r="C20" s="94">
        <f>C5</f>
        <v>1</v>
      </c>
      <c r="D20" s="95">
        <v>345</v>
      </c>
      <c r="E20" s="96">
        <v>46021</v>
      </c>
      <c r="F20" s="336">
        <v>28.4</v>
      </c>
      <c r="G20" s="97">
        <v>34</v>
      </c>
      <c r="H20" s="95" t="s">
        <v>18</v>
      </c>
      <c r="I20" s="98" t="s">
        <v>19</v>
      </c>
      <c r="J20" s="98"/>
      <c r="K20" s="95" t="s">
        <v>20</v>
      </c>
      <c r="L20" s="98"/>
      <c r="M20" s="264"/>
      <c r="N20" s="100"/>
      <c r="O20" s="289"/>
      <c r="P20" s="360"/>
      <c r="Q20" s="13"/>
    </row>
    <row r="21" spans="1:17" ht="19.5" customHeight="1" x14ac:dyDescent="0.25">
      <c r="A21" s="49"/>
      <c r="B21" s="102">
        <f>B20</f>
        <v>2026</v>
      </c>
      <c r="C21" s="102">
        <f>C6</f>
        <v>1</v>
      </c>
      <c r="D21" s="103">
        <v>346</v>
      </c>
      <c r="E21" s="96">
        <v>46021</v>
      </c>
      <c r="F21" s="336">
        <v>21.9</v>
      </c>
      <c r="G21" s="97">
        <v>41</v>
      </c>
      <c r="H21" s="95" t="s">
        <v>18</v>
      </c>
      <c r="I21" s="98" t="s">
        <v>19</v>
      </c>
      <c r="J21" s="98"/>
      <c r="K21" s="95" t="s">
        <v>20</v>
      </c>
      <c r="L21" s="98"/>
      <c r="M21" s="264"/>
      <c r="N21" s="100"/>
      <c r="O21" s="289"/>
      <c r="P21" s="360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1</v>
      </c>
      <c r="D22" s="95">
        <v>347</v>
      </c>
      <c r="E22" s="105">
        <v>46021</v>
      </c>
      <c r="F22" s="337">
        <v>19.899999999999999</v>
      </c>
      <c r="G22" s="97">
        <v>45</v>
      </c>
      <c r="H22" s="95" t="s">
        <v>18</v>
      </c>
      <c r="I22" s="98" t="s">
        <v>19</v>
      </c>
      <c r="J22" s="98"/>
      <c r="K22" s="95" t="s">
        <v>20</v>
      </c>
      <c r="L22" s="98"/>
      <c r="M22" s="264"/>
      <c r="N22" s="100"/>
      <c r="O22" s="289"/>
      <c r="P22" s="360"/>
      <c r="Q22" s="13"/>
    </row>
    <row r="23" spans="1:17" ht="19.5" customHeight="1" x14ac:dyDescent="0.25">
      <c r="A23" s="49"/>
      <c r="B23" s="94">
        <f>B22</f>
        <v>2026</v>
      </c>
      <c r="C23" s="106">
        <f>C5</f>
        <v>1</v>
      </c>
      <c r="D23" s="107">
        <v>348</v>
      </c>
      <c r="E23" s="96">
        <v>46021</v>
      </c>
      <c r="F23" s="336">
        <v>11</v>
      </c>
      <c r="G23" s="97">
        <v>62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0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</v>
      </c>
      <c r="D24" s="111">
        <v>349</v>
      </c>
      <c r="E24" s="112">
        <v>46021</v>
      </c>
      <c r="F24" s="338">
        <v>8.6</v>
      </c>
      <c r="G24" s="113">
        <v>84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1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</v>
      </c>
      <c r="D25" s="118">
        <v>401</v>
      </c>
      <c r="E25" s="120">
        <v>46021</v>
      </c>
      <c r="F25" s="339">
        <v>19.3</v>
      </c>
      <c r="G25" s="121">
        <v>46</v>
      </c>
      <c r="H25" s="118" t="s">
        <v>18</v>
      </c>
      <c r="I25" s="122" t="s">
        <v>30</v>
      </c>
      <c r="J25" s="122">
        <v>8</v>
      </c>
      <c r="K25" s="118" t="s">
        <v>20</v>
      </c>
      <c r="L25" s="122">
        <v>6</v>
      </c>
      <c r="M25" s="266">
        <v>8</v>
      </c>
      <c r="N25" s="124">
        <v>7</v>
      </c>
      <c r="O25" s="292">
        <v>6</v>
      </c>
      <c r="P25" s="362" t="s">
        <v>39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1</v>
      </c>
      <c r="D26" s="127">
        <v>404</v>
      </c>
      <c r="E26" s="128">
        <v>46020</v>
      </c>
      <c r="F26" s="339">
        <v>30.2</v>
      </c>
      <c r="G26" s="121">
        <v>33</v>
      </c>
      <c r="H26" s="127" t="s">
        <v>18</v>
      </c>
      <c r="I26" s="129" t="s">
        <v>30</v>
      </c>
      <c r="J26" s="129">
        <v>9</v>
      </c>
      <c r="K26" s="127" t="s">
        <v>20</v>
      </c>
      <c r="L26" s="129">
        <v>7</v>
      </c>
      <c r="M26" s="267">
        <v>8</v>
      </c>
      <c r="N26" s="131">
        <v>7.5555555555555598</v>
      </c>
      <c r="O26" s="293">
        <v>9</v>
      </c>
      <c r="P26" s="362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1</v>
      </c>
      <c r="D27" s="134">
        <v>405</v>
      </c>
      <c r="E27" s="135">
        <v>46020</v>
      </c>
      <c r="F27" s="138">
        <v>103.1</v>
      </c>
      <c r="G27" s="136">
        <v>19</v>
      </c>
      <c r="H27" s="134" t="s">
        <v>18</v>
      </c>
      <c r="I27" s="136" t="s">
        <v>30</v>
      </c>
      <c r="J27" s="136">
        <v>3</v>
      </c>
      <c r="K27" s="134" t="s">
        <v>20</v>
      </c>
      <c r="L27" s="136">
        <v>7</v>
      </c>
      <c r="M27" s="268">
        <v>8</v>
      </c>
      <c r="N27" s="138">
        <v>7.3333333333333304</v>
      </c>
      <c r="O27" s="294">
        <v>1</v>
      </c>
      <c r="P27" s="362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1</v>
      </c>
      <c r="D28" s="141">
        <v>411</v>
      </c>
      <c r="E28" s="142">
        <v>46022</v>
      </c>
      <c r="F28" s="145">
        <v>33.200000000000003</v>
      </c>
      <c r="G28" s="143">
        <v>35</v>
      </c>
      <c r="H28" s="141" t="s">
        <v>18</v>
      </c>
      <c r="I28" s="143" t="s">
        <v>30</v>
      </c>
      <c r="J28" s="143">
        <v>28</v>
      </c>
      <c r="K28" s="141" t="s">
        <v>20</v>
      </c>
      <c r="L28" s="143">
        <v>7</v>
      </c>
      <c r="M28" s="269">
        <v>9</v>
      </c>
      <c r="N28" s="145">
        <v>7.4285714285714297</v>
      </c>
      <c r="O28" s="295">
        <v>24</v>
      </c>
      <c r="P28" s="363" t="s">
        <v>40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1</v>
      </c>
      <c r="D29" s="148">
        <v>418</v>
      </c>
      <c r="E29" s="149">
        <v>46022</v>
      </c>
      <c r="F29" s="152">
        <v>20.2</v>
      </c>
      <c r="G29" s="150">
        <v>35</v>
      </c>
      <c r="H29" s="148" t="s">
        <v>18</v>
      </c>
      <c r="I29" s="150" t="s">
        <v>30</v>
      </c>
      <c r="J29" s="150">
        <v>6</v>
      </c>
      <c r="K29" s="148" t="s">
        <v>20</v>
      </c>
      <c r="L29" s="150">
        <v>7</v>
      </c>
      <c r="M29" s="270">
        <v>8</v>
      </c>
      <c r="N29" s="152">
        <v>7.8333333333333304</v>
      </c>
      <c r="O29" s="296">
        <v>6</v>
      </c>
      <c r="P29" s="363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1</v>
      </c>
      <c r="D30" s="148">
        <v>501</v>
      </c>
      <c r="E30" s="154">
        <v>46022</v>
      </c>
      <c r="F30" s="340">
        <v>39.299999999999997</v>
      </c>
      <c r="G30" s="155">
        <v>20</v>
      </c>
      <c r="H30" s="148" t="s">
        <v>18</v>
      </c>
      <c r="I30" s="150" t="s">
        <v>30</v>
      </c>
      <c r="J30" s="150">
        <v>10</v>
      </c>
      <c r="K30" s="148" t="s">
        <v>20</v>
      </c>
      <c r="L30" s="150">
        <v>6</v>
      </c>
      <c r="M30" s="270">
        <v>8</v>
      </c>
      <c r="N30" s="152">
        <v>6.7777777777777803</v>
      </c>
      <c r="O30" s="296">
        <v>9</v>
      </c>
      <c r="P30" s="363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1</v>
      </c>
      <c r="D31" s="148">
        <v>504</v>
      </c>
      <c r="E31" s="149">
        <v>46022</v>
      </c>
      <c r="F31" s="152">
        <v>37.6</v>
      </c>
      <c r="G31" s="150">
        <v>35</v>
      </c>
      <c r="H31" s="148" t="s">
        <v>18</v>
      </c>
      <c r="I31" s="150" t="s">
        <v>30</v>
      </c>
      <c r="J31" s="150">
        <v>5</v>
      </c>
      <c r="K31" s="148" t="s">
        <v>20</v>
      </c>
      <c r="L31" s="150">
        <v>6</v>
      </c>
      <c r="M31" s="270">
        <v>6</v>
      </c>
      <c r="N31" s="152">
        <v>6</v>
      </c>
      <c r="O31" s="296">
        <v>4</v>
      </c>
      <c r="P31" s="363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1</v>
      </c>
      <c r="D32" s="148">
        <v>519</v>
      </c>
      <c r="E32" s="149">
        <v>46021</v>
      </c>
      <c r="F32" s="152">
        <v>62.5</v>
      </c>
      <c r="G32" s="150">
        <v>14</v>
      </c>
      <c r="H32" s="148" t="s">
        <v>18</v>
      </c>
      <c r="I32" s="150" t="s">
        <v>30</v>
      </c>
      <c r="J32" s="150">
        <v>1</v>
      </c>
      <c r="K32" s="148" t="s">
        <v>20</v>
      </c>
      <c r="L32" s="150">
        <v>6</v>
      </c>
      <c r="M32" s="270">
        <v>6</v>
      </c>
      <c r="N32" s="152">
        <v>6</v>
      </c>
      <c r="O32" s="296">
        <v>0</v>
      </c>
      <c r="P32" s="363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1</v>
      </c>
      <c r="D33" s="148">
        <v>602</v>
      </c>
      <c r="E33" s="154">
        <v>46021</v>
      </c>
      <c r="F33" s="340">
        <v>78.5</v>
      </c>
      <c r="G33" s="155">
        <v>12</v>
      </c>
      <c r="H33" s="148" t="s">
        <v>18</v>
      </c>
      <c r="I33" s="150" t="s">
        <v>30</v>
      </c>
      <c r="J33" s="150">
        <v>2</v>
      </c>
      <c r="K33" s="148" t="s">
        <v>20</v>
      </c>
      <c r="L33" s="150">
        <v>7</v>
      </c>
      <c r="M33" s="270">
        <v>7</v>
      </c>
      <c r="N33" s="152">
        <v>7</v>
      </c>
      <c r="O33" s="296">
        <v>2</v>
      </c>
      <c r="P33" s="363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1</v>
      </c>
      <c r="D34" s="148">
        <v>606</v>
      </c>
      <c r="E34" s="149">
        <v>46021</v>
      </c>
      <c r="F34" s="152">
        <v>37.1</v>
      </c>
      <c r="G34" s="150">
        <v>20</v>
      </c>
      <c r="H34" s="148" t="s">
        <v>18</v>
      </c>
      <c r="I34" s="150" t="s">
        <v>19</v>
      </c>
      <c r="J34" s="150"/>
      <c r="K34" s="148" t="s">
        <v>20</v>
      </c>
      <c r="L34" s="150"/>
      <c r="M34" s="270"/>
      <c r="N34" s="152"/>
      <c r="O34" s="296"/>
      <c r="P34" s="363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1</v>
      </c>
      <c r="D35" s="148">
        <v>609</v>
      </c>
      <c r="E35" s="149">
        <v>46021</v>
      </c>
      <c r="F35" s="152">
        <v>35.299999999999997</v>
      </c>
      <c r="G35" s="150">
        <v>23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3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1</v>
      </c>
      <c r="D36" s="158">
        <v>610</v>
      </c>
      <c r="E36" s="159">
        <v>46021</v>
      </c>
      <c r="F36" s="341">
        <v>41.5</v>
      </c>
      <c r="G36" s="160">
        <v>24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3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1</v>
      </c>
      <c r="D37" s="167">
        <v>508</v>
      </c>
      <c r="E37" s="168">
        <v>46021</v>
      </c>
      <c r="F37" s="342">
        <v>63.6</v>
      </c>
      <c r="G37" s="169">
        <v>15</v>
      </c>
      <c r="H37" s="170" t="s">
        <v>18</v>
      </c>
      <c r="I37" s="170" t="s">
        <v>19</v>
      </c>
      <c r="J37" s="170"/>
      <c r="K37" s="167" t="s">
        <v>20</v>
      </c>
      <c r="L37" s="170"/>
      <c r="M37" s="272"/>
      <c r="N37" s="172"/>
      <c r="O37" s="298"/>
      <c r="P37" s="364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1</v>
      </c>
      <c r="D38" s="175">
        <v>513</v>
      </c>
      <c r="E38" s="176">
        <v>46021</v>
      </c>
      <c r="F38" s="343">
        <v>37.1</v>
      </c>
      <c r="G38" s="177">
        <v>20</v>
      </c>
      <c r="H38" s="178" t="s">
        <v>18</v>
      </c>
      <c r="I38" s="178" t="s">
        <v>30</v>
      </c>
      <c r="J38" s="178">
        <v>3</v>
      </c>
      <c r="K38" s="175" t="s">
        <v>20</v>
      </c>
      <c r="L38" s="178">
        <v>6</v>
      </c>
      <c r="M38" s="273">
        <v>7</v>
      </c>
      <c r="N38" s="180">
        <v>6.3333333333333304</v>
      </c>
      <c r="O38" s="299">
        <v>0</v>
      </c>
      <c r="P38" s="364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1</v>
      </c>
      <c r="D39" s="175">
        <v>520</v>
      </c>
      <c r="E39" s="176">
        <v>46021</v>
      </c>
      <c r="F39" s="343">
        <v>37.1</v>
      </c>
      <c r="G39" s="177">
        <v>21</v>
      </c>
      <c r="H39" s="178" t="s">
        <v>18</v>
      </c>
      <c r="I39" s="178" t="s">
        <v>30</v>
      </c>
      <c r="J39" s="178">
        <v>3</v>
      </c>
      <c r="K39" s="175" t="s">
        <v>20</v>
      </c>
      <c r="L39" s="178">
        <v>6</v>
      </c>
      <c r="M39" s="273">
        <v>7</v>
      </c>
      <c r="N39" s="180">
        <v>6.6666666666666696</v>
      </c>
      <c r="O39" s="299">
        <v>3</v>
      </c>
      <c r="P39" s="364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1</v>
      </c>
      <c r="D40" s="175">
        <v>801</v>
      </c>
      <c r="E40" s="176">
        <v>46021</v>
      </c>
      <c r="F40" s="343">
        <v>36.9</v>
      </c>
      <c r="G40" s="177">
        <v>22</v>
      </c>
      <c r="H40" s="178" t="s">
        <v>18</v>
      </c>
      <c r="I40" s="178" t="s">
        <v>30</v>
      </c>
      <c r="J40" s="178">
        <v>3</v>
      </c>
      <c r="K40" s="175" t="s">
        <v>20</v>
      </c>
      <c r="L40" s="178">
        <v>6</v>
      </c>
      <c r="M40" s="273">
        <v>8</v>
      </c>
      <c r="N40" s="180">
        <v>7</v>
      </c>
      <c r="O40" s="299">
        <v>1</v>
      </c>
      <c r="P40" s="364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1</v>
      </c>
      <c r="D41" s="184">
        <v>804</v>
      </c>
      <c r="E41" s="185">
        <v>46021</v>
      </c>
      <c r="F41" s="344">
        <v>33.1</v>
      </c>
      <c r="G41" s="186">
        <v>23</v>
      </c>
      <c r="H41" s="187" t="s">
        <v>18</v>
      </c>
      <c r="I41" s="187" t="s">
        <v>30</v>
      </c>
      <c r="J41" s="187">
        <v>4</v>
      </c>
      <c r="K41" s="184" t="s">
        <v>20</v>
      </c>
      <c r="L41" s="187">
        <v>5</v>
      </c>
      <c r="M41" s="274">
        <v>6</v>
      </c>
      <c r="N41" s="189">
        <v>5.75</v>
      </c>
      <c r="O41" s="300">
        <v>3</v>
      </c>
      <c r="P41" s="364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1</v>
      </c>
      <c r="D42" s="193">
        <v>703</v>
      </c>
      <c r="E42" s="194">
        <v>46021</v>
      </c>
      <c r="F42" s="345">
        <v>44.2</v>
      </c>
      <c r="G42" s="195">
        <v>20</v>
      </c>
      <c r="H42" s="196" t="s">
        <v>18</v>
      </c>
      <c r="I42" s="197" t="s">
        <v>30</v>
      </c>
      <c r="J42" s="197">
        <v>1</v>
      </c>
      <c r="K42" s="193" t="s">
        <v>20</v>
      </c>
      <c r="L42" s="197">
        <v>8</v>
      </c>
      <c r="M42" s="275">
        <v>8</v>
      </c>
      <c r="N42" s="199">
        <v>8</v>
      </c>
      <c r="O42" s="301">
        <v>0</v>
      </c>
      <c r="P42" s="365" t="s">
        <v>41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1</v>
      </c>
      <c r="D43" s="203">
        <v>704</v>
      </c>
      <c r="E43" s="204">
        <v>46021</v>
      </c>
      <c r="F43" s="346">
        <v>56.1</v>
      </c>
      <c r="G43" s="205">
        <v>15</v>
      </c>
      <c r="H43" s="196" t="s">
        <v>18</v>
      </c>
      <c r="I43" s="206" t="s">
        <v>30</v>
      </c>
      <c r="J43" s="206">
        <v>2</v>
      </c>
      <c r="K43" s="203" t="s">
        <v>20</v>
      </c>
      <c r="L43" s="206">
        <v>6</v>
      </c>
      <c r="M43" s="276">
        <v>6</v>
      </c>
      <c r="N43" s="208">
        <v>6</v>
      </c>
      <c r="O43" s="302">
        <v>2</v>
      </c>
      <c r="P43" s="366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1</v>
      </c>
      <c r="D44" s="203">
        <v>705</v>
      </c>
      <c r="E44" s="204">
        <v>46021</v>
      </c>
      <c r="F44" s="346">
        <v>43.3</v>
      </c>
      <c r="G44" s="205">
        <v>18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6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1</v>
      </c>
      <c r="D45" s="203">
        <v>706</v>
      </c>
      <c r="E45" s="204">
        <v>46021</v>
      </c>
      <c r="F45" s="346">
        <v>49.2</v>
      </c>
      <c r="G45" s="205">
        <v>19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6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1</v>
      </c>
      <c r="D46" s="203">
        <v>707</v>
      </c>
      <c r="E46" s="204">
        <v>46021</v>
      </c>
      <c r="F46" s="346">
        <v>48.6</v>
      </c>
      <c r="G46" s="205">
        <v>23</v>
      </c>
      <c r="H46" s="196" t="s">
        <v>18</v>
      </c>
      <c r="I46" s="206" t="s">
        <v>30</v>
      </c>
      <c r="J46" s="206">
        <v>1</v>
      </c>
      <c r="K46" s="203" t="s">
        <v>20</v>
      </c>
      <c r="L46" s="206">
        <v>6</v>
      </c>
      <c r="M46" s="276">
        <v>6</v>
      </c>
      <c r="N46" s="208">
        <v>6</v>
      </c>
      <c r="O46" s="302">
        <v>0</v>
      </c>
      <c r="P46" s="366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1</v>
      </c>
      <c r="D47" s="203">
        <v>711</v>
      </c>
      <c r="E47" s="204">
        <v>46021</v>
      </c>
      <c r="F47" s="346">
        <v>65.5</v>
      </c>
      <c r="G47" s="205">
        <v>13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6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1</v>
      </c>
      <c r="D48" s="211">
        <v>716</v>
      </c>
      <c r="E48" s="212">
        <v>46021</v>
      </c>
      <c r="F48" s="347">
        <v>48</v>
      </c>
      <c r="G48" s="213">
        <v>17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6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1</v>
      </c>
      <c r="D49" s="203">
        <v>723</v>
      </c>
      <c r="E49" s="204">
        <v>46021</v>
      </c>
      <c r="F49" s="346">
        <v>59.6</v>
      </c>
      <c r="G49" s="205">
        <v>16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7"/>
      <c r="Q49" s="13"/>
    </row>
    <row r="50" spans="1:17" ht="19.5" customHeight="1" thickBot="1" x14ac:dyDescent="0.3">
      <c r="A50" s="49"/>
      <c r="B50" s="221">
        <v>2026</v>
      </c>
      <c r="C50" s="222">
        <f>C3</f>
        <v>1</v>
      </c>
      <c r="D50" s="223">
        <v>809</v>
      </c>
      <c r="E50" s="224">
        <v>46020</v>
      </c>
      <c r="F50" s="348">
        <v>29.1</v>
      </c>
      <c r="G50" s="225">
        <v>25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57" t="s">
        <v>35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1</v>
      </c>
      <c r="D51" s="232">
        <v>812</v>
      </c>
      <c r="E51" s="233">
        <v>46020</v>
      </c>
      <c r="F51" s="349">
        <v>34.299999999999997</v>
      </c>
      <c r="G51" s="234">
        <v>15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7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1</v>
      </c>
      <c r="D52" s="241">
        <v>815</v>
      </c>
      <c r="E52" s="242">
        <v>46020</v>
      </c>
      <c r="F52" s="350">
        <v>50.6</v>
      </c>
      <c r="G52" s="243">
        <v>19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7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1</v>
      </c>
      <c r="D53" s="241" t="s">
        <v>27</v>
      </c>
      <c r="E53" s="249">
        <v>46020</v>
      </c>
      <c r="F53" s="351">
        <v>26.8</v>
      </c>
      <c r="G53" s="243">
        <v>30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7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1</v>
      </c>
      <c r="D54" s="241">
        <v>902</v>
      </c>
      <c r="E54" s="249">
        <v>46020</v>
      </c>
      <c r="F54" s="351">
        <v>2.7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7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1</v>
      </c>
      <c r="D55" s="241">
        <v>906</v>
      </c>
      <c r="E55" s="249">
        <v>46020</v>
      </c>
      <c r="F55" s="351">
        <v>10.9</v>
      </c>
      <c r="G55" s="243">
        <v>60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7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1</v>
      </c>
      <c r="D56" s="241">
        <v>910</v>
      </c>
      <c r="E56" s="249">
        <v>46020</v>
      </c>
      <c r="F56" s="351">
        <v>6.9</v>
      </c>
      <c r="G56" s="243">
        <v>95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7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1</v>
      </c>
      <c r="D57" s="241">
        <v>912</v>
      </c>
      <c r="E57" s="249">
        <v>46020</v>
      </c>
      <c r="F57" s="351">
        <v>10.9</v>
      </c>
      <c r="G57" s="243">
        <v>78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7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1</v>
      </c>
      <c r="D58" s="241">
        <v>914</v>
      </c>
      <c r="E58" s="249">
        <v>46020</v>
      </c>
      <c r="F58" s="351">
        <v>2.7</v>
      </c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7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1</v>
      </c>
      <c r="D59" s="241">
        <v>915</v>
      </c>
      <c r="E59" s="249">
        <v>46020</v>
      </c>
      <c r="F59" s="351">
        <v>3.7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7"/>
      <c r="Q59" s="13"/>
    </row>
    <row r="60" spans="1:17" ht="19.5" customHeight="1" thickBot="1" x14ac:dyDescent="0.3">
      <c r="A60" s="49"/>
      <c r="B60" s="309">
        <f t="shared" si="3"/>
        <v>2026</v>
      </c>
      <c r="C60" s="310">
        <f>C3</f>
        <v>1</v>
      </c>
      <c r="D60" s="311">
        <v>918</v>
      </c>
      <c r="E60" s="312"/>
      <c r="F60" s="353"/>
      <c r="G60" s="313"/>
      <c r="H60" s="314" t="s">
        <v>31</v>
      </c>
      <c r="I60" s="315"/>
      <c r="J60" s="315"/>
      <c r="K60" s="311"/>
      <c r="L60" s="315"/>
      <c r="M60" s="316"/>
      <c r="N60" s="317"/>
      <c r="O60" s="318"/>
      <c r="P60" s="357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1</v>
      </c>
      <c r="D61" s="252">
        <v>919</v>
      </c>
      <c r="E61" s="253">
        <v>46020</v>
      </c>
      <c r="F61" s="352">
        <v>31.1</v>
      </c>
      <c r="G61" s="254">
        <v>24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7"/>
      <c r="Q61" s="13"/>
    </row>
    <row r="62" spans="1:17" ht="19.5" customHeight="1" x14ac:dyDescent="0.25">
      <c r="A62" s="49"/>
      <c r="B62" s="4" t="s">
        <v>24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25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26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32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42</v>
      </c>
      <c r="I69" s="14">
        <v>58</v>
      </c>
      <c r="Q69" s="45"/>
    </row>
    <row r="70" spans="1:30" ht="15" customHeight="1" x14ac:dyDescent="0.2">
      <c r="H70" s="41" t="s">
        <v>43</v>
      </c>
      <c r="I70" s="14">
        <v>58</v>
      </c>
    </row>
    <row r="71" spans="1:30" ht="15" customHeight="1" x14ac:dyDescent="0.2">
      <c r="H71" s="41" t="s">
        <v>44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6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22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20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52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13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4</v>
      </c>
      <c r="J78" s="47"/>
      <c r="M78" s="43"/>
      <c r="N78" s="43"/>
      <c r="O78" s="43"/>
    </row>
    <row r="79" spans="1:30" x14ac:dyDescent="0.2">
      <c r="H79" s="47" t="s">
        <v>45</v>
      </c>
      <c r="I79" s="43">
        <f>SUM(J50:J51)</f>
        <v>0</v>
      </c>
      <c r="J79" s="47"/>
      <c r="M79" s="43"/>
      <c r="N79" s="43"/>
      <c r="O79" s="43"/>
    </row>
    <row r="80" spans="1:30" x14ac:dyDescent="0.2">
      <c r="H80" s="47" t="s">
        <v>46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117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A243A18B-B96A-4257-9044-AE7D213A6BB4}">
      <formula1>"Not Processed, Not Sampled"</formula1>
    </dataValidation>
    <dataValidation type="list" allowBlank="1" showInputMessage="1" showErrorMessage="1" sqref="K3:K61" xr:uid="{1F3F3704-5BBC-46E2-B815-FF216B87BF1F}">
      <formula1>"Completed, Preliminary "</formula1>
    </dataValidation>
    <dataValidation type="list" allowBlank="1" showInputMessage="1" showErrorMessage="1" sqref="I3:I61" xr:uid="{926A9487-92DD-48E7-B690-1F5152E5ABAF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F9A5-F9DB-43D6-8E25-1C0FE1B01111}">
  <dimension ref="A1:AD81"/>
  <sheetViews>
    <sheetView topLeftCell="A48" workbookViewId="0">
      <selection activeCell="G67" sqref="G67:O68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36</v>
      </c>
      <c r="D2" s="50" t="s">
        <v>37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2</v>
      </c>
      <c r="D3" s="55">
        <v>306</v>
      </c>
      <c r="E3" s="56">
        <v>46034</v>
      </c>
      <c r="F3" s="334">
        <v>8.8000000000000007</v>
      </c>
      <c r="G3" s="57">
        <v>47</v>
      </c>
      <c r="H3" s="55" t="s">
        <v>18</v>
      </c>
      <c r="I3" s="58" t="s">
        <v>30</v>
      </c>
      <c r="J3" s="57">
        <v>1</v>
      </c>
      <c r="K3" s="55" t="s">
        <v>20</v>
      </c>
      <c r="L3" s="57">
        <v>7</v>
      </c>
      <c r="M3" s="259">
        <v>7</v>
      </c>
      <c r="N3" s="60">
        <v>7</v>
      </c>
      <c r="O3" s="284">
        <v>1</v>
      </c>
      <c r="P3" s="358" t="s">
        <v>38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2</v>
      </c>
      <c r="D4" s="64">
        <v>308</v>
      </c>
      <c r="E4" s="65">
        <v>46034</v>
      </c>
      <c r="F4" s="70">
        <v>9.6999999999999993</v>
      </c>
      <c r="G4" s="66">
        <v>58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58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2</v>
      </c>
      <c r="D5" s="62">
        <v>311</v>
      </c>
      <c r="E5" s="72">
        <v>46034</v>
      </c>
      <c r="F5" s="77">
        <v>11.7</v>
      </c>
      <c r="G5" s="73">
        <v>42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58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2</v>
      </c>
      <c r="D6" s="62">
        <v>315</v>
      </c>
      <c r="E6" s="72">
        <v>46034</v>
      </c>
      <c r="F6" s="77">
        <v>11.9</v>
      </c>
      <c r="G6" s="73">
        <v>49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58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2</v>
      </c>
      <c r="D7" s="62">
        <v>322</v>
      </c>
      <c r="E7" s="72">
        <v>46034</v>
      </c>
      <c r="F7" s="77">
        <v>10.6</v>
      </c>
      <c r="G7" s="73">
        <v>47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58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2</v>
      </c>
      <c r="D8" s="62">
        <v>323</v>
      </c>
      <c r="E8" s="72">
        <v>46034</v>
      </c>
      <c r="F8" s="77">
        <v>19.399999999999999</v>
      </c>
      <c r="G8" s="73">
        <v>34</v>
      </c>
      <c r="H8" s="74" t="s">
        <v>18</v>
      </c>
      <c r="I8" s="75" t="s">
        <v>30</v>
      </c>
      <c r="J8" s="73">
        <v>9</v>
      </c>
      <c r="K8" s="62" t="s">
        <v>20</v>
      </c>
      <c r="L8" s="73">
        <v>7</v>
      </c>
      <c r="M8" s="261">
        <v>8</v>
      </c>
      <c r="N8" s="77">
        <v>7.3333333333333304</v>
      </c>
      <c r="O8" s="286">
        <v>6</v>
      </c>
      <c r="P8" s="358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2</v>
      </c>
      <c r="D9" s="62">
        <v>327</v>
      </c>
      <c r="E9" s="72">
        <v>46034</v>
      </c>
      <c r="F9" s="77">
        <v>13.6</v>
      </c>
      <c r="G9" s="73">
        <v>44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58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2</v>
      </c>
      <c r="D10" s="62">
        <v>328</v>
      </c>
      <c r="E10" s="72">
        <v>46034</v>
      </c>
      <c r="F10" s="77">
        <v>13.6</v>
      </c>
      <c r="G10" s="73">
        <v>39</v>
      </c>
      <c r="H10" s="74" t="s">
        <v>18</v>
      </c>
      <c r="I10" s="75" t="s">
        <v>30</v>
      </c>
      <c r="J10" s="73">
        <v>7</v>
      </c>
      <c r="K10" s="62" t="s">
        <v>20</v>
      </c>
      <c r="L10" s="73">
        <v>6</v>
      </c>
      <c r="M10" s="261">
        <v>8</v>
      </c>
      <c r="N10" s="77">
        <v>7.1428571428571397</v>
      </c>
      <c r="O10" s="286">
        <v>5</v>
      </c>
      <c r="P10" s="358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2</v>
      </c>
      <c r="D11" s="62">
        <v>329</v>
      </c>
      <c r="E11" s="72">
        <v>46034</v>
      </c>
      <c r="F11" s="77">
        <v>12.2</v>
      </c>
      <c r="G11" s="73">
        <v>48</v>
      </c>
      <c r="H11" s="74" t="s">
        <v>18</v>
      </c>
      <c r="I11" s="75" t="s">
        <v>30</v>
      </c>
      <c r="J11" s="73">
        <v>2</v>
      </c>
      <c r="K11" s="62" t="s">
        <v>20</v>
      </c>
      <c r="L11" s="73">
        <v>8</v>
      </c>
      <c r="M11" s="261">
        <v>8</v>
      </c>
      <c r="N11" s="77">
        <v>8</v>
      </c>
      <c r="O11" s="286">
        <v>0</v>
      </c>
      <c r="P11" s="358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2</v>
      </c>
      <c r="D12" s="62">
        <v>330</v>
      </c>
      <c r="E12" s="72">
        <v>46034</v>
      </c>
      <c r="F12" s="77">
        <v>20.399999999999999</v>
      </c>
      <c r="G12" s="73">
        <v>33</v>
      </c>
      <c r="H12" s="74" t="s">
        <v>18</v>
      </c>
      <c r="I12" s="75" t="s">
        <v>30</v>
      </c>
      <c r="J12" s="73">
        <v>14</v>
      </c>
      <c r="K12" s="62" t="s">
        <v>20</v>
      </c>
      <c r="L12" s="73">
        <v>7</v>
      </c>
      <c r="M12" s="261">
        <v>8</v>
      </c>
      <c r="N12" s="77">
        <v>7.5</v>
      </c>
      <c r="O12" s="286">
        <v>10</v>
      </c>
      <c r="P12" s="358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2</v>
      </c>
      <c r="D13" s="62">
        <v>335</v>
      </c>
      <c r="E13" s="72">
        <v>46034</v>
      </c>
      <c r="F13" s="77">
        <v>14.3</v>
      </c>
      <c r="G13" s="73">
        <v>43</v>
      </c>
      <c r="H13" s="74" t="s">
        <v>18</v>
      </c>
      <c r="I13" s="75" t="s">
        <v>30</v>
      </c>
      <c r="J13" s="73">
        <v>4</v>
      </c>
      <c r="K13" s="62" t="s">
        <v>20</v>
      </c>
      <c r="L13" s="73">
        <v>7</v>
      </c>
      <c r="M13" s="261">
        <v>8</v>
      </c>
      <c r="N13" s="77">
        <v>7.25</v>
      </c>
      <c r="O13" s="286">
        <v>2</v>
      </c>
      <c r="P13" s="358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2</v>
      </c>
      <c r="D14" s="62">
        <v>336</v>
      </c>
      <c r="E14" s="72">
        <v>46034</v>
      </c>
      <c r="F14" s="77">
        <v>13.7</v>
      </c>
      <c r="G14" s="73">
        <v>42</v>
      </c>
      <c r="H14" s="74" t="s">
        <v>18</v>
      </c>
      <c r="I14" s="75" t="s">
        <v>30</v>
      </c>
      <c r="J14" s="73">
        <v>11</v>
      </c>
      <c r="K14" s="62" t="s">
        <v>20</v>
      </c>
      <c r="L14" s="73">
        <v>6</v>
      </c>
      <c r="M14" s="261">
        <v>8</v>
      </c>
      <c r="N14" s="77">
        <v>7.4545454545454497</v>
      </c>
      <c r="O14" s="286">
        <v>11</v>
      </c>
      <c r="P14" s="358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2</v>
      </c>
      <c r="D15" s="79">
        <v>338</v>
      </c>
      <c r="E15" s="80">
        <v>46035</v>
      </c>
      <c r="F15" s="84">
        <v>12</v>
      </c>
      <c r="G15" s="81">
        <v>47</v>
      </c>
      <c r="H15" s="74" t="s">
        <v>18</v>
      </c>
      <c r="I15" s="82" t="s">
        <v>30</v>
      </c>
      <c r="J15" s="81">
        <v>7</v>
      </c>
      <c r="K15" s="79" t="s">
        <v>20</v>
      </c>
      <c r="L15" s="81">
        <v>6</v>
      </c>
      <c r="M15" s="262">
        <v>8</v>
      </c>
      <c r="N15" s="84">
        <v>7</v>
      </c>
      <c r="O15" s="287">
        <v>6</v>
      </c>
      <c r="P15" s="358"/>
      <c r="Q15" s="13"/>
    </row>
    <row r="16" spans="1:17" ht="19.5" customHeight="1" x14ac:dyDescent="0.25">
      <c r="A16" s="49"/>
      <c r="B16" s="86">
        <f>B15</f>
        <v>2026</v>
      </c>
      <c r="C16" s="87">
        <f>C3</f>
        <v>2</v>
      </c>
      <c r="D16" s="86">
        <v>340</v>
      </c>
      <c r="E16" s="88">
        <v>46035</v>
      </c>
      <c r="F16" s="335">
        <v>15.7</v>
      </c>
      <c r="G16" s="89">
        <v>38</v>
      </c>
      <c r="H16" s="86" t="s">
        <v>18</v>
      </c>
      <c r="I16" s="90" t="s">
        <v>30</v>
      </c>
      <c r="J16" s="90">
        <v>19</v>
      </c>
      <c r="K16" s="86" t="s">
        <v>20</v>
      </c>
      <c r="L16" s="90">
        <v>6</v>
      </c>
      <c r="M16" s="263">
        <v>8</v>
      </c>
      <c r="N16" s="92">
        <v>7.1052631578947398</v>
      </c>
      <c r="O16" s="288">
        <v>14</v>
      </c>
      <c r="P16" s="359" t="s">
        <v>13</v>
      </c>
      <c r="Q16" s="13"/>
    </row>
    <row r="17" spans="1:17" ht="19.5" customHeight="1" x14ac:dyDescent="0.25">
      <c r="A17" s="49"/>
      <c r="B17" s="309">
        <f>B16</f>
        <v>2026</v>
      </c>
      <c r="C17" s="309">
        <f>C3</f>
        <v>2</v>
      </c>
      <c r="D17" s="311">
        <v>342</v>
      </c>
      <c r="E17" s="312"/>
      <c r="F17" s="353"/>
      <c r="G17" s="313"/>
      <c r="H17" s="311" t="s">
        <v>31</v>
      </c>
      <c r="I17" s="315"/>
      <c r="J17" s="315"/>
      <c r="K17" s="311"/>
      <c r="L17" s="315"/>
      <c r="M17" s="316"/>
      <c r="N17" s="317"/>
      <c r="O17" s="318"/>
      <c r="P17" s="360"/>
      <c r="Q17" s="13"/>
    </row>
    <row r="18" spans="1:17" ht="19.5" customHeight="1" x14ac:dyDescent="0.25">
      <c r="A18" s="49"/>
      <c r="B18" s="309">
        <f t="shared" ref="B18:B19" si="1">B17</f>
        <v>2026</v>
      </c>
      <c r="C18" s="309">
        <f>C3</f>
        <v>2</v>
      </c>
      <c r="D18" s="311">
        <v>343</v>
      </c>
      <c r="E18" s="312"/>
      <c r="F18" s="353"/>
      <c r="G18" s="313"/>
      <c r="H18" s="311" t="s">
        <v>31</v>
      </c>
      <c r="I18" s="315"/>
      <c r="J18" s="315"/>
      <c r="K18" s="311"/>
      <c r="L18" s="315"/>
      <c r="M18" s="316"/>
      <c r="N18" s="317"/>
      <c r="O18" s="318"/>
      <c r="P18" s="360"/>
      <c r="Q18" s="13"/>
    </row>
    <row r="19" spans="1:17" ht="19.5" customHeight="1" x14ac:dyDescent="0.25">
      <c r="A19" s="49"/>
      <c r="B19" s="309">
        <f t="shared" si="1"/>
        <v>2026</v>
      </c>
      <c r="C19" s="309">
        <f>C4</f>
        <v>2</v>
      </c>
      <c r="D19" s="311">
        <v>344</v>
      </c>
      <c r="E19" s="312"/>
      <c r="F19" s="353"/>
      <c r="G19" s="313"/>
      <c r="H19" s="311" t="s">
        <v>31</v>
      </c>
      <c r="I19" s="315"/>
      <c r="J19" s="315"/>
      <c r="K19" s="311"/>
      <c r="L19" s="315"/>
      <c r="M19" s="316"/>
      <c r="N19" s="317"/>
      <c r="O19" s="318"/>
      <c r="P19" s="360"/>
      <c r="Q19" s="13"/>
    </row>
    <row r="20" spans="1:17" ht="19.5" customHeight="1" x14ac:dyDescent="0.25">
      <c r="A20" s="49"/>
      <c r="B20" s="309">
        <f>B19</f>
        <v>2026</v>
      </c>
      <c r="C20" s="309">
        <f>C5</f>
        <v>2</v>
      </c>
      <c r="D20" s="311">
        <v>345</v>
      </c>
      <c r="E20" s="312"/>
      <c r="F20" s="353"/>
      <c r="G20" s="313"/>
      <c r="H20" s="311" t="s">
        <v>31</v>
      </c>
      <c r="I20" s="315"/>
      <c r="J20" s="315"/>
      <c r="K20" s="311"/>
      <c r="L20" s="315"/>
      <c r="M20" s="316"/>
      <c r="N20" s="317"/>
      <c r="O20" s="318"/>
      <c r="P20" s="360"/>
      <c r="Q20" s="13"/>
    </row>
    <row r="21" spans="1:17" ht="19.5" customHeight="1" x14ac:dyDescent="0.25">
      <c r="A21" s="49"/>
      <c r="B21" s="319">
        <f>B20</f>
        <v>2026</v>
      </c>
      <c r="C21" s="319">
        <f>C6</f>
        <v>2</v>
      </c>
      <c r="D21" s="320">
        <v>346</v>
      </c>
      <c r="E21" s="312"/>
      <c r="F21" s="353"/>
      <c r="G21" s="313"/>
      <c r="H21" s="311" t="s">
        <v>31</v>
      </c>
      <c r="I21" s="315"/>
      <c r="J21" s="315"/>
      <c r="K21" s="311"/>
      <c r="L21" s="315"/>
      <c r="M21" s="316"/>
      <c r="N21" s="317"/>
      <c r="O21" s="318"/>
      <c r="P21" s="360"/>
      <c r="Q21" s="13"/>
    </row>
    <row r="22" spans="1:17" ht="19.5" customHeight="1" x14ac:dyDescent="0.25">
      <c r="A22" s="49"/>
      <c r="B22" s="321">
        <f t="shared" ref="B22" si="2">B21</f>
        <v>2026</v>
      </c>
      <c r="C22" s="309">
        <f>C7</f>
        <v>2</v>
      </c>
      <c r="D22" s="311">
        <v>347</v>
      </c>
      <c r="E22" s="322"/>
      <c r="F22" s="354"/>
      <c r="G22" s="313"/>
      <c r="H22" s="311" t="s">
        <v>31</v>
      </c>
      <c r="I22" s="315"/>
      <c r="J22" s="315"/>
      <c r="K22" s="311"/>
      <c r="L22" s="315"/>
      <c r="M22" s="316"/>
      <c r="N22" s="317"/>
      <c r="O22" s="318"/>
      <c r="P22" s="360"/>
      <c r="Q22" s="13"/>
    </row>
    <row r="23" spans="1:17" ht="19.5" customHeight="1" x14ac:dyDescent="0.25">
      <c r="A23" s="49"/>
      <c r="B23" s="309">
        <f>B22</f>
        <v>2026</v>
      </c>
      <c r="C23" s="323">
        <f>C5</f>
        <v>2</v>
      </c>
      <c r="D23" s="314">
        <v>348</v>
      </c>
      <c r="E23" s="312"/>
      <c r="F23" s="353"/>
      <c r="G23" s="313"/>
      <c r="H23" s="311" t="s">
        <v>31</v>
      </c>
      <c r="I23" s="315"/>
      <c r="J23" s="315"/>
      <c r="K23" s="311"/>
      <c r="L23" s="315"/>
      <c r="M23" s="316"/>
      <c r="N23" s="324"/>
      <c r="O23" s="325"/>
      <c r="P23" s="360"/>
      <c r="Q23" s="13"/>
    </row>
    <row r="24" spans="1:17" ht="19.5" customHeight="1" thickBot="1" x14ac:dyDescent="0.3">
      <c r="A24" s="49"/>
      <c r="B24" s="326">
        <f>B23</f>
        <v>2026</v>
      </c>
      <c r="C24" s="319">
        <f>C6</f>
        <v>2</v>
      </c>
      <c r="D24" s="327">
        <v>349</v>
      </c>
      <c r="E24" s="328"/>
      <c r="F24" s="355"/>
      <c r="G24" s="329"/>
      <c r="H24" s="327" t="s">
        <v>31</v>
      </c>
      <c r="I24" s="330"/>
      <c r="J24" s="330"/>
      <c r="K24" s="327"/>
      <c r="L24" s="330"/>
      <c r="M24" s="331"/>
      <c r="N24" s="332"/>
      <c r="O24" s="333"/>
      <c r="P24" s="361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2</v>
      </c>
      <c r="D25" s="118">
        <v>401</v>
      </c>
      <c r="E25" s="120">
        <v>46035</v>
      </c>
      <c r="F25" s="339">
        <v>20.8</v>
      </c>
      <c r="G25" s="121">
        <v>28</v>
      </c>
      <c r="H25" s="118" t="s">
        <v>18</v>
      </c>
      <c r="I25" s="122" t="s">
        <v>30</v>
      </c>
      <c r="J25" s="122">
        <v>57</v>
      </c>
      <c r="K25" s="118" t="s">
        <v>20</v>
      </c>
      <c r="L25" s="122">
        <v>6</v>
      </c>
      <c r="M25" s="266">
        <v>8</v>
      </c>
      <c r="N25" s="124">
        <v>7.3333333333333304</v>
      </c>
      <c r="O25" s="292">
        <v>47</v>
      </c>
      <c r="P25" s="362" t="s">
        <v>39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2</v>
      </c>
      <c r="D26" s="127">
        <v>404</v>
      </c>
      <c r="E26" s="128">
        <v>46034</v>
      </c>
      <c r="F26" s="339">
        <v>17.899999999999999</v>
      </c>
      <c r="G26" s="121">
        <v>38</v>
      </c>
      <c r="H26" s="127" t="s">
        <v>18</v>
      </c>
      <c r="I26" s="129" t="s">
        <v>30</v>
      </c>
      <c r="J26" s="129">
        <v>17</v>
      </c>
      <c r="K26" s="127" t="s">
        <v>20</v>
      </c>
      <c r="L26" s="129">
        <v>5</v>
      </c>
      <c r="M26" s="267">
        <v>8</v>
      </c>
      <c r="N26" s="131">
        <v>6.9375</v>
      </c>
      <c r="O26" s="293">
        <v>6</v>
      </c>
      <c r="P26" s="362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2</v>
      </c>
      <c r="D27" s="134">
        <v>405</v>
      </c>
      <c r="E27" s="135">
        <v>46034</v>
      </c>
      <c r="F27" s="138">
        <v>22.1</v>
      </c>
      <c r="G27" s="136">
        <v>35</v>
      </c>
      <c r="H27" s="134" t="s">
        <v>18</v>
      </c>
      <c r="I27" s="136" t="s">
        <v>30</v>
      </c>
      <c r="J27" s="136">
        <v>177</v>
      </c>
      <c r="K27" s="134" t="s">
        <v>20</v>
      </c>
      <c r="L27" s="136">
        <v>5</v>
      </c>
      <c r="M27" s="268">
        <v>9</v>
      </c>
      <c r="N27" s="138">
        <v>7.34</v>
      </c>
      <c r="O27" s="294">
        <v>116</v>
      </c>
      <c r="P27" s="362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2</v>
      </c>
      <c r="D28" s="141">
        <v>411</v>
      </c>
      <c r="E28" s="142">
        <v>46035</v>
      </c>
      <c r="F28" s="145">
        <v>27.3</v>
      </c>
      <c r="G28" s="143">
        <v>23</v>
      </c>
      <c r="H28" s="141" t="s">
        <v>18</v>
      </c>
      <c r="I28" s="143" t="s">
        <v>30</v>
      </c>
      <c r="J28" s="143">
        <v>36</v>
      </c>
      <c r="K28" s="141" t="s">
        <v>20</v>
      </c>
      <c r="L28" s="143">
        <v>6</v>
      </c>
      <c r="M28" s="269">
        <v>8</v>
      </c>
      <c r="N28" s="145">
        <v>7.5</v>
      </c>
      <c r="O28" s="295">
        <v>17</v>
      </c>
      <c r="P28" s="363" t="s">
        <v>40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2</v>
      </c>
      <c r="D29" s="148">
        <v>418</v>
      </c>
      <c r="E29" s="149">
        <v>46035</v>
      </c>
      <c r="F29" s="152">
        <v>25.6</v>
      </c>
      <c r="G29" s="150">
        <v>25</v>
      </c>
      <c r="H29" s="148" t="s">
        <v>18</v>
      </c>
      <c r="I29" s="150" t="s">
        <v>30</v>
      </c>
      <c r="J29" s="150">
        <v>49</v>
      </c>
      <c r="K29" s="148" t="s">
        <v>20</v>
      </c>
      <c r="L29" s="150">
        <v>5</v>
      </c>
      <c r="M29" s="270">
        <v>8</v>
      </c>
      <c r="N29" s="152">
        <v>6.8979591836734704</v>
      </c>
      <c r="O29" s="296">
        <v>41</v>
      </c>
      <c r="P29" s="363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2</v>
      </c>
      <c r="D30" s="148">
        <v>501</v>
      </c>
      <c r="E30" s="154">
        <v>46035</v>
      </c>
      <c r="F30" s="340">
        <v>35</v>
      </c>
      <c r="G30" s="155">
        <v>24</v>
      </c>
      <c r="H30" s="148" t="s">
        <v>18</v>
      </c>
      <c r="I30" s="150" t="s">
        <v>30</v>
      </c>
      <c r="J30" s="150">
        <v>1</v>
      </c>
      <c r="K30" s="148" t="s">
        <v>20</v>
      </c>
      <c r="L30" s="150">
        <v>7</v>
      </c>
      <c r="M30" s="270">
        <v>7</v>
      </c>
      <c r="N30" s="152">
        <v>7</v>
      </c>
      <c r="O30" s="296">
        <v>1</v>
      </c>
      <c r="P30" s="363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2</v>
      </c>
      <c r="D31" s="148">
        <v>504</v>
      </c>
      <c r="E31" s="149">
        <v>46035</v>
      </c>
      <c r="F31" s="152">
        <v>30.5</v>
      </c>
      <c r="G31" s="150">
        <v>27</v>
      </c>
      <c r="H31" s="148" t="s">
        <v>18</v>
      </c>
      <c r="I31" s="150" t="s">
        <v>30</v>
      </c>
      <c r="J31" s="150">
        <v>6</v>
      </c>
      <c r="K31" s="148" t="s">
        <v>20</v>
      </c>
      <c r="L31" s="150">
        <v>6</v>
      </c>
      <c r="M31" s="270">
        <v>6</v>
      </c>
      <c r="N31" s="152">
        <v>6</v>
      </c>
      <c r="O31" s="296">
        <v>6</v>
      </c>
      <c r="P31" s="363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2</v>
      </c>
      <c r="D32" s="148">
        <v>519</v>
      </c>
      <c r="E32" s="149">
        <v>46035</v>
      </c>
      <c r="F32" s="152">
        <v>36.1</v>
      </c>
      <c r="G32" s="150">
        <v>18</v>
      </c>
      <c r="H32" s="148" t="s">
        <v>18</v>
      </c>
      <c r="I32" s="150" t="s">
        <v>30</v>
      </c>
      <c r="J32" s="150">
        <v>4</v>
      </c>
      <c r="K32" s="148" t="s">
        <v>20</v>
      </c>
      <c r="L32" s="150">
        <v>6</v>
      </c>
      <c r="M32" s="270">
        <v>6</v>
      </c>
      <c r="N32" s="152">
        <v>6</v>
      </c>
      <c r="O32" s="296">
        <v>4</v>
      </c>
      <c r="P32" s="363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2</v>
      </c>
      <c r="D33" s="148">
        <v>602</v>
      </c>
      <c r="E33" s="154">
        <v>46035</v>
      </c>
      <c r="F33" s="340">
        <v>36.200000000000003</v>
      </c>
      <c r="G33" s="155">
        <v>27</v>
      </c>
      <c r="H33" s="148" t="s">
        <v>18</v>
      </c>
      <c r="I33" s="150" t="s">
        <v>30</v>
      </c>
      <c r="J33" s="150">
        <v>4</v>
      </c>
      <c r="K33" s="148" t="s">
        <v>20</v>
      </c>
      <c r="L33" s="150">
        <v>7</v>
      </c>
      <c r="M33" s="270">
        <v>7</v>
      </c>
      <c r="N33" s="152">
        <v>7</v>
      </c>
      <c r="O33" s="296">
        <v>0</v>
      </c>
      <c r="P33" s="363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2</v>
      </c>
      <c r="D34" s="148">
        <v>606</v>
      </c>
      <c r="E34" s="149">
        <v>46035</v>
      </c>
      <c r="F34" s="152">
        <v>34.6</v>
      </c>
      <c r="G34" s="150">
        <v>11</v>
      </c>
      <c r="H34" s="148" t="s">
        <v>18</v>
      </c>
      <c r="I34" s="150" t="s">
        <v>30</v>
      </c>
      <c r="J34" s="150">
        <v>2</v>
      </c>
      <c r="K34" s="148" t="s">
        <v>20</v>
      </c>
      <c r="L34" s="150">
        <v>6</v>
      </c>
      <c r="M34" s="270">
        <v>8</v>
      </c>
      <c r="N34" s="152">
        <v>7</v>
      </c>
      <c r="O34" s="296">
        <v>1</v>
      </c>
      <c r="P34" s="363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2</v>
      </c>
      <c r="D35" s="148">
        <v>609</v>
      </c>
      <c r="E35" s="149">
        <v>46035</v>
      </c>
      <c r="F35" s="152">
        <v>21.6</v>
      </c>
      <c r="G35" s="150">
        <v>33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3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2</v>
      </c>
      <c r="D36" s="158">
        <v>610</v>
      </c>
      <c r="E36" s="159">
        <v>46035</v>
      </c>
      <c r="F36" s="341">
        <v>29.5</v>
      </c>
      <c r="G36" s="160">
        <v>24</v>
      </c>
      <c r="H36" s="158" t="s">
        <v>18</v>
      </c>
      <c r="I36" s="161" t="s">
        <v>30</v>
      </c>
      <c r="J36" s="161">
        <v>1</v>
      </c>
      <c r="K36" s="158" t="s">
        <v>20</v>
      </c>
      <c r="L36" s="161">
        <v>6</v>
      </c>
      <c r="M36" s="271">
        <v>6</v>
      </c>
      <c r="N36" s="163">
        <v>6</v>
      </c>
      <c r="O36" s="297">
        <v>0</v>
      </c>
      <c r="P36" s="363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2</v>
      </c>
      <c r="D37" s="167">
        <v>508</v>
      </c>
      <c r="E37" s="168">
        <v>46035</v>
      </c>
      <c r="F37" s="342">
        <v>29.1</v>
      </c>
      <c r="G37" s="169">
        <v>24</v>
      </c>
      <c r="H37" s="170" t="s">
        <v>18</v>
      </c>
      <c r="I37" s="170" t="s">
        <v>30</v>
      </c>
      <c r="J37" s="170">
        <v>5</v>
      </c>
      <c r="K37" s="167" t="s">
        <v>20</v>
      </c>
      <c r="L37" s="170">
        <v>6</v>
      </c>
      <c r="M37" s="272">
        <v>7</v>
      </c>
      <c r="N37" s="172">
        <v>6.2</v>
      </c>
      <c r="O37" s="298">
        <v>4</v>
      </c>
      <c r="P37" s="364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2</v>
      </c>
      <c r="D38" s="175">
        <v>513</v>
      </c>
      <c r="E38" s="176">
        <v>46036</v>
      </c>
      <c r="F38" s="343">
        <v>32.1</v>
      </c>
      <c r="G38" s="177">
        <v>30</v>
      </c>
      <c r="H38" s="178" t="s">
        <v>18</v>
      </c>
      <c r="I38" s="178" t="s">
        <v>30</v>
      </c>
      <c r="J38" s="178">
        <v>1</v>
      </c>
      <c r="K38" s="175" t="s">
        <v>20</v>
      </c>
      <c r="L38" s="178">
        <v>7</v>
      </c>
      <c r="M38" s="273">
        <v>7</v>
      </c>
      <c r="N38" s="180">
        <v>7</v>
      </c>
      <c r="O38" s="299">
        <v>1</v>
      </c>
      <c r="P38" s="364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2</v>
      </c>
      <c r="D39" s="175">
        <v>520</v>
      </c>
      <c r="E39" s="176">
        <v>46036</v>
      </c>
      <c r="F39" s="343">
        <v>23.6</v>
      </c>
      <c r="G39" s="177">
        <v>27</v>
      </c>
      <c r="H39" s="178" t="s">
        <v>18</v>
      </c>
      <c r="I39" s="178" t="s">
        <v>30</v>
      </c>
      <c r="J39" s="178">
        <v>2</v>
      </c>
      <c r="K39" s="175" t="s">
        <v>20</v>
      </c>
      <c r="L39" s="178">
        <v>6</v>
      </c>
      <c r="M39" s="273">
        <v>7</v>
      </c>
      <c r="N39" s="180">
        <v>6.5</v>
      </c>
      <c r="O39" s="299">
        <v>2</v>
      </c>
      <c r="P39" s="364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2</v>
      </c>
      <c r="D40" s="175">
        <v>801</v>
      </c>
      <c r="E40" s="176">
        <v>46036</v>
      </c>
      <c r="F40" s="343">
        <v>25</v>
      </c>
      <c r="G40" s="177">
        <v>33</v>
      </c>
      <c r="H40" s="178" t="s">
        <v>18</v>
      </c>
      <c r="I40" s="178" t="s">
        <v>30</v>
      </c>
      <c r="J40" s="178">
        <v>2</v>
      </c>
      <c r="K40" s="175" t="s">
        <v>20</v>
      </c>
      <c r="L40" s="178">
        <v>6</v>
      </c>
      <c r="M40" s="273">
        <v>7</v>
      </c>
      <c r="N40" s="180">
        <v>6.5</v>
      </c>
      <c r="O40" s="299">
        <v>2</v>
      </c>
      <c r="P40" s="364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2</v>
      </c>
      <c r="D41" s="184">
        <v>804</v>
      </c>
      <c r="E41" s="185">
        <v>46036</v>
      </c>
      <c r="F41" s="344">
        <v>18.100000000000001</v>
      </c>
      <c r="G41" s="186">
        <v>42</v>
      </c>
      <c r="H41" s="187" t="s">
        <v>18</v>
      </c>
      <c r="I41" s="187" t="s">
        <v>30</v>
      </c>
      <c r="J41" s="187">
        <v>2</v>
      </c>
      <c r="K41" s="184" t="s">
        <v>20</v>
      </c>
      <c r="L41" s="187">
        <v>6</v>
      </c>
      <c r="M41" s="274">
        <v>6</v>
      </c>
      <c r="N41" s="189">
        <v>6</v>
      </c>
      <c r="O41" s="300">
        <v>2</v>
      </c>
      <c r="P41" s="364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2</v>
      </c>
      <c r="D42" s="193">
        <v>703</v>
      </c>
      <c r="E42" s="194">
        <v>46036</v>
      </c>
      <c r="F42" s="345">
        <v>32.1</v>
      </c>
      <c r="G42" s="195">
        <v>42</v>
      </c>
      <c r="H42" s="196" t="s">
        <v>18</v>
      </c>
      <c r="I42" s="197" t="s">
        <v>19</v>
      </c>
      <c r="J42" s="197"/>
      <c r="K42" s="193" t="s">
        <v>20</v>
      </c>
      <c r="L42" s="197"/>
      <c r="M42" s="275"/>
      <c r="N42" s="199"/>
      <c r="O42" s="301"/>
      <c r="P42" s="365" t="s">
        <v>41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2</v>
      </c>
      <c r="D43" s="203">
        <v>704</v>
      </c>
      <c r="E43" s="204">
        <v>46036</v>
      </c>
      <c r="F43" s="346">
        <v>32.1</v>
      </c>
      <c r="G43" s="205">
        <v>31</v>
      </c>
      <c r="H43" s="196" t="s">
        <v>18</v>
      </c>
      <c r="I43" s="206" t="s">
        <v>19</v>
      </c>
      <c r="J43" s="206"/>
      <c r="K43" s="203" t="s">
        <v>20</v>
      </c>
      <c r="L43" s="206"/>
      <c r="M43" s="276"/>
      <c r="N43" s="208"/>
      <c r="O43" s="302"/>
      <c r="P43" s="366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2</v>
      </c>
      <c r="D44" s="203">
        <v>705</v>
      </c>
      <c r="E44" s="204">
        <v>46036</v>
      </c>
      <c r="F44" s="346">
        <v>20</v>
      </c>
      <c r="G44" s="205">
        <v>49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6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2</v>
      </c>
      <c r="D45" s="203">
        <v>706</v>
      </c>
      <c r="E45" s="204">
        <v>46036</v>
      </c>
      <c r="F45" s="346">
        <v>32.299999999999997</v>
      </c>
      <c r="G45" s="205">
        <v>36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6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2</v>
      </c>
      <c r="D46" s="203">
        <v>707</v>
      </c>
      <c r="E46" s="204">
        <v>46036</v>
      </c>
      <c r="F46" s="346">
        <v>27.3</v>
      </c>
      <c r="G46" s="205">
        <v>38</v>
      </c>
      <c r="H46" s="196" t="s">
        <v>18</v>
      </c>
      <c r="I46" s="206" t="s">
        <v>19</v>
      </c>
      <c r="J46" s="206"/>
      <c r="K46" s="203" t="s">
        <v>20</v>
      </c>
      <c r="L46" s="206"/>
      <c r="M46" s="276"/>
      <c r="N46" s="208"/>
      <c r="O46" s="302"/>
      <c r="P46" s="366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2</v>
      </c>
      <c r="D47" s="203">
        <v>711</v>
      </c>
      <c r="E47" s="204">
        <v>46036</v>
      </c>
      <c r="F47" s="346">
        <v>27.6</v>
      </c>
      <c r="G47" s="205">
        <v>36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6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2</v>
      </c>
      <c r="D48" s="211">
        <v>716</v>
      </c>
      <c r="E48" s="212">
        <v>46036</v>
      </c>
      <c r="F48" s="347">
        <v>30.5</v>
      </c>
      <c r="G48" s="213">
        <v>40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6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2</v>
      </c>
      <c r="D49" s="203">
        <v>723</v>
      </c>
      <c r="E49" s="204">
        <v>46036</v>
      </c>
      <c r="F49" s="346">
        <v>25.8</v>
      </c>
      <c r="G49" s="205">
        <v>39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7"/>
      <c r="Q49" s="13"/>
    </row>
    <row r="50" spans="1:17" ht="19.5" customHeight="1" thickBot="1" x14ac:dyDescent="0.3">
      <c r="A50" s="49"/>
      <c r="B50" s="221">
        <v>2026</v>
      </c>
      <c r="C50" s="222">
        <f>C3</f>
        <v>2</v>
      </c>
      <c r="D50" s="223">
        <v>809</v>
      </c>
      <c r="E50" s="224">
        <v>46034</v>
      </c>
      <c r="F50" s="348">
        <v>21.7</v>
      </c>
      <c r="G50" s="225">
        <v>41</v>
      </c>
      <c r="H50" s="223" t="s">
        <v>18</v>
      </c>
      <c r="I50" s="226" t="s">
        <v>30</v>
      </c>
      <c r="J50" s="226">
        <v>2</v>
      </c>
      <c r="K50" s="223" t="s">
        <v>20</v>
      </c>
      <c r="L50" s="226">
        <v>7</v>
      </c>
      <c r="M50" s="280">
        <v>7</v>
      </c>
      <c r="N50" s="228">
        <v>7</v>
      </c>
      <c r="O50" s="305">
        <v>0</v>
      </c>
      <c r="P50" s="357" t="s">
        <v>35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2</v>
      </c>
      <c r="D51" s="232">
        <v>812</v>
      </c>
      <c r="E51" s="233">
        <v>46034</v>
      </c>
      <c r="F51" s="349">
        <v>26.5</v>
      </c>
      <c r="G51" s="234">
        <v>36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7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2</v>
      </c>
      <c r="D52" s="241">
        <v>815</v>
      </c>
      <c r="E52" s="242">
        <v>46034</v>
      </c>
      <c r="F52" s="350">
        <v>22.6</v>
      </c>
      <c r="G52" s="243">
        <v>35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7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2</v>
      </c>
      <c r="D53" s="241" t="s">
        <v>27</v>
      </c>
      <c r="E53" s="249">
        <v>46034</v>
      </c>
      <c r="F53" s="351">
        <v>14.4</v>
      </c>
      <c r="G53" s="243">
        <v>52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7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2</v>
      </c>
      <c r="D54" s="241">
        <v>902</v>
      </c>
      <c r="E54" s="249">
        <v>46034</v>
      </c>
      <c r="F54" s="351">
        <v>7.2</v>
      </c>
      <c r="G54" s="243">
        <v>110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7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2</v>
      </c>
      <c r="D55" s="241">
        <v>906</v>
      </c>
      <c r="E55" s="249">
        <v>46036</v>
      </c>
      <c r="F55" s="351">
        <v>11</v>
      </c>
      <c r="G55" s="243">
        <v>60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7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2</v>
      </c>
      <c r="D56" s="241">
        <v>910</v>
      </c>
      <c r="E56" s="249">
        <v>46036</v>
      </c>
      <c r="F56" s="351">
        <v>9.1999999999999993</v>
      </c>
      <c r="G56" s="243">
        <v>60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7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2</v>
      </c>
      <c r="D57" s="241">
        <v>912</v>
      </c>
      <c r="E57" s="249">
        <v>46034</v>
      </c>
      <c r="F57" s="351">
        <v>3.1</v>
      </c>
      <c r="G57" s="243">
        <v>115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7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2</v>
      </c>
      <c r="D58" s="241">
        <v>914</v>
      </c>
      <c r="E58" s="249">
        <v>46034</v>
      </c>
      <c r="F58" s="351">
        <v>6.4</v>
      </c>
      <c r="G58" s="243">
        <v>111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7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2</v>
      </c>
      <c r="D59" s="241">
        <v>915</v>
      </c>
      <c r="E59" s="249">
        <v>46034</v>
      </c>
      <c r="F59" s="351">
        <v>5.8</v>
      </c>
      <c r="G59" s="243">
        <v>105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7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2</v>
      </c>
      <c r="D60" s="241">
        <v>918</v>
      </c>
      <c r="E60" s="249">
        <v>46034</v>
      </c>
      <c r="F60" s="351">
        <v>4.5999999999999996</v>
      </c>
      <c r="G60" s="243">
        <v>145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7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2</v>
      </c>
      <c r="D61" s="252">
        <v>919</v>
      </c>
      <c r="E61" s="253">
        <v>46036</v>
      </c>
      <c r="F61" s="352">
        <v>14.9</v>
      </c>
      <c r="G61" s="254">
        <v>47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7"/>
      <c r="Q61" s="13"/>
    </row>
    <row r="62" spans="1:17" ht="19.5" customHeight="1" x14ac:dyDescent="0.25">
      <c r="A62" s="49"/>
      <c r="B62" s="4" t="s">
        <v>24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25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26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34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42</v>
      </c>
      <c r="I69" s="14">
        <v>51</v>
      </c>
      <c r="Q69" s="45"/>
    </row>
    <row r="70" spans="1:30" ht="15" customHeight="1" x14ac:dyDescent="0.2">
      <c r="H70" s="41" t="s">
        <v>43</v>
      </c>
      <c r="I70" s="14">
        <v>51</v>
      </c>
    </row>
    <row r="71" spans="1:30" ht="15" customHeight="1" x14ac:dyDescent="0.2">
      <c r="H71" s="41" t="s">
        <v>44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55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19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251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103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12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0</v>
      </c>
      <c r="J78" s="47"/>
      <c r="M78" s="43"/>
      <c r="N78" s="43"/>
      <c r="O78" s="43"/>
    </row>
    <row r="79" spans="1:30" x14ac:dyDescent="0.2">
      <c r="H79" s="47" t="s">
        <v>45</v>
      </c>
      <c r="I79" s="43">
        <f>SUM(J50:J51)</f>
        <v>2</v>
      </c>
      <c r="J79" s="47"/>
      <c r="M79" s="43"/>
      <c r="N79" s="43"/>
      <c r="O79" s="43"/>
    </row>
    <row r="80" spans="1:30" x14ac:dyDescent="0.2">
      <c r="H80" s="47" t="s">
        <v>46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442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6988F80F-1C63-4339-978A-A29CABA2A716}">
      <formula1>"No Smelt Catch, Longfin Smelt, Delta Smelt"</formula1>
    </dataValidation>
    <dataValidation type="list" allowBlank="1" showInputMessage="1" showErrorMessage="1" sqref="K3:K61" xr:uid="{E6DDB98D-D925-4B35-9D2D-9069621F4E17}">
      <formula1>"Completed, Preliminary "</formula1>
    </dataValidation>
    <dataValidation type="list" allowBlank="1" showInputMessage="1" showErrorMessage="1" sqref="H3:H61" xr:uid="{33D4CB73-CBB4-4043-89CE-60D38E4FAF24}">
      <formula1>"Not Processed, Not Sampled"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878C-9AB7-4E2B-8DD3-4D00152EE1D0}">
  <dimension ref="A1:AD81"/>
  <sheetViews>
    <sheetView topLeftCell="A60" workbookViewId="0">
      <selection activeCell="B3" sqref="B3:P65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36</v>
      </c>
      <c r="D2" s="50" t="s">
        <v>37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'[1]Survey 12'!B3</f>
        <v>2026</v>
      </c>
      <c r="C3" s="55">
        <v>3</v>
      </c>
      <c r="D3" s="55">
        <v>306</v>
      </c>
      <c r="E3" s="56">
        <v>46049</v>
      </c>
      <c r="F3" s="334">
        <v>6</v>
      </c>
      <c r="G3" s="57">
        <v>77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58" t="s">
        <v>38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3</v>
      </c>
      <c r="D4" s="64">
        <v>308</v>
      </c>
      <c r="E4" s="65"/>
      <c r="F4" s="70"/>
      <c r="G4" s="66"/>
      <c r="H4" s="67" t="s">
        <v>21</v>
      </c>
      <c r="I4" s="68"/>
      <c r="J4" s="66"/>
      <c r="K4" s="64"/>
      <c r="L4" s="66"/>
      <c r="M4" s="260"/>
      <c r="N4" s="70"/>
      <c r="O4" s="285"/>
      <c r="P4" s="358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3</v>
      </c>
      <c r="D5" s="62">
        <v>311</v>
      </c>
      <c r="E5" s="72">
        <v>46049</v>
      </c>
      <c r="F5" s="77">
        <v>7.4</v>
      </c>
      <c r="G5" s="73">
        <v>78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58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3</v>
      </c>
      <c r="D6" s="62">
        <v>315</v>
      </c>
      <c r="E6" s="72">
        <v>46049</v>
      </c>
      <c r="F6" s="77">
        <v>9.1999999999999993</v>
      </c>
      <c r="G6" s="73">
        <v>59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58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3</v>
      </c>
      <c r="D7" s="62">
        <v>322</v>
      </c>
      <c r="E7" s="72"/>
      <c r="F7" s="77"/>
      <c r="G7" s="73"/>
      <c r="H7" s="74" t="s">
        <v>21</v>
      </c>
      <c r="I7" s="75"/>
      <c r="J7" s="73"/>
      <c r="K7" s="62"/>
      <c r="L7" s="73"/>
      <c r="M7" s="261"/>
      <c r="N7" s="77"/>
      <c r="O7" s="286"/>
      <c r="P7" s="358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3</v>
      </c>
      <c r="D8" s="62">
        <v>323</v>
      </c>
      <c r="E8" s="72">
        <v>46048</v>
      </c>
      <c r="F8" s="77"/>
      <c r="G8" s="73">
        <v>32</v>
      </c>
      <c r="H8" s="74" t="s">
        <v>18</v>
      </c>
      <c r="I8" s="75" t="s">
        <v>30</v>
      </c>
      <c r="J8" s="73">
        <v>2</v>
      </c>
      <c r="K8" s="62" t="s">
        <v>20</v>
      </c>
      <c r="L8" s="73">
        <v>7</v>
      </c>
      <c r="M8" s="261">
        <v>7</v>
      </c>
      <c r="N8" s="77">
        <v>7</v>
      </c>
      <c r="O8" s="286">
        <v>2</v>
      </c>
      <c r="P8" s="358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3</v>
      </c>
      <c r="D9" s="62">
        <v>327</v>
      </c>
      <c r="E9" s="72">
        <v>46049</v>
      </c>
      <c r="F9" s="77">
        <v>9.9</v>
      </c>
      <c r="G9" s="73">
        <v>66</v>
      </c>
      <c r="H9" s="74" t="s">
        <v>18</v>
      </c>
      <c r="I9" s="75" t="s">
        <v>30</v>
      </c>
      <c r="J9" s="73">
        <v>3</v>
      </c>
      <c r="K9" s="62" t="s">
        <v>20</v>
      </c>
      <c r="L9" s="73">
        <v>7</v>
      </c>
      <c r="M9" s="261">
        <v>77</v>
      </c>
      <c r="N9" s="77">
        <v>30.7</v>
      </c>
      <c r="O9" s="286"/>
      <c r="P9" s="358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3</v>
      </c>
      <c r="D10" s="62">
        <v>328</v>
      </c>
      <c r="E10" s="72"/>
      <c r="F10" s="77"/>
      <c r="G10" s="73"/>
      <c r="H10" s="74" t="s">
        <v>21</v>
      </c>
      <c r="I10" s="75"/>
      <c r="J10" s="73"/>
      <c r="K10" s="62"/>
      <c r="L10" s="73"/>
      <c r="M10" s="261"/>
      <c r="N10" s="77"/>
      <c r="O10" s="286"/>
      <c r="P10" s="358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3</v>
      </c>
      <c r="D11" s="62">
        <v>329</v>
      </c>
      <c r="E11" s="72"/>
      <c r="F11" s="77"/>
      <c r="G11" s="73"/>
      <c r="H11" s="74" t="s">
        <v>21</v>
      </c>
      <c r="I11" s="75"/>
      <c r="J11" s="73"/>
      <c r="K11" s="62"/>
      <c r="L11" s="73"/>
      <c r="M11" s="261"/>
      <c r="N11" s="77"/>
      <c r="O11" s="286"/>
      <c r="P11" s="358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3</v>
      </c>
      <c r="D12" s="62">
        <v>330</v>
      </c>
      <c r="E12" s="72">
        <v>46049</v>
      </c>
      <c r="F12" s="77">
        <v>18.399999999999999</v>
      </c>
      <c r="G12" s="73">
        <v>38</v>
      </c>
      <c r="H12" s="74" t="s">
        <v>18</v>
      </c>
      <c r="I12" s="75" t="s">
        <v>30</v>
      </c>
      <c r="J12" s="73">
        <v>1</v>
      </c>
      <c r="K12" s="62" t="s">
        <v>20</v>
      </c>
      <c r="L12" s="73">
        <v>8</v>
      </c>
      <c r="M12" s="261">
        <v>8</v>
      </c>
      <c r="N12" s="77">
        <v>8</v>
      </c>
      <c r="O12" s="286">
        <v>0</v>
      </c>
      <c r="P12" s="358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3</v>
      </c>
      <c r="D13" s="62">
        <v>335</v>
      </c>
      <c r="E13" s="72"/>
      <c r="F13" s="77"/>
      <c r="G13" s="73"/>
      <c r="H13" s="74" t="s">
        <v>21</v>
      </c>
      <c r="I13" s="75"/>
      <c r="J13" s="73"/>
      <c r="K13" s="62"/>
      <c r="L13" s="73"/>
      <c r="M13" s="261"/>
      <c r="N13" s="77"/>
      <c r="O13" s="286"/>
      <c r="P13" s="358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3</v>
      </c>
      <c r="D14" s="62">
        <v>336</v>
      </c>
      <c r="E14" s="72"/>
      <c r="F14" s="77"/>
      <c r="G14" s="73"/>
      <c r="H14" s="74" t="s">
        <v>21</v>
      </c>
      <c r="I14" s="75"/>
      <c r="J14" s="73"/>
      <c r="K14" s="62"/>
      <c r="L14" s="73"/>
      <c r="M14" s="261"/>
      <c r="N14" s="77"/>
      <c r="O14" s="286"/>
      <c r="P14" s="358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3</v>
      </c>
      <c r="D15" s="79">
        <v>338</v>
      </c>
      <c r="E15" s="80"/>
      <c r="F15" s="84"/>
      <c r="G15" s="81"/>
      <c r="H15" s="74" t="s">
        <v>21</v>
      </c>
      <c r="I15" s="82"/>
      <c r="J15" s="81"/>
      <c r="K15" s="79"/>
      <c r="L15" s="81"/>
      <c r="M15" s="262"/>
      <c r="N15" s="84"/>
      <c r="O15" s="287"/>
      <c r="P15" s="358"/>
      <c r="Q15" s="13"/>
    </row>
    <row r="16" spans="1:17" ht="19.5" customHeight="1" x14ac:dyDescent="0.25">
      <c r="A16" s="49"/>
      <c r="B16" s="86">
        <f>B15</f>
        <v>2026</v>
      </c>
      <c r="C16" s="87">
        <f>C3</f>
        <v>3</v>
      </c>
      <c r="D16" s="86">
        <v>340</v>
      </c>
      <c r="E16" s="88">
        <v>46048</v>
      </c>
      <c r="F16" s="335"/>
      <c r="G16" s="89">
        <v>31</v>
      </c>
      <c r="H16" s="86" t="s">
        <v>18</v>
      </c>
      <c r="I16" s="90" t="s">
        <v>30</v>
      </c>
      <c r="J16" s="90">
        <v>10</v>
      </c>
      <c r="K16" s="86" t="s">
        <v>20</v>
      </c>
      <c r="L16" s="90">
        <v>7</v>
      </c>
      <c r="M16" s="263">
        <v>8</v>
      </c>
      <c r="N16" s="92">
        <v>7.5</v>
      </c>
      <c r="O16" s="288">
        <v>8</v>
      </c>
      <c r="P16" s="359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3</v>
      </c>
      <c r="D17" s="95">
        <v>342</v>
      </c>
      <c r="E17" s="96"/>
      <c r="F17" s="336"/>
      <c r="G17" s="97"/>
      <c r="H17" s="95" t="s">
        <v>21</v>
      </c>
      <c r="I17" s="98"/>
      <c r="J17" s="98"/>
      <c r="K17" s="95"/>
      <c r="L17" s="98"/>
      <c r="M17" s="264"/>
      <c r="N17" s="100"/>
      <c r="O17" s="289"/>
      <c r="P17" s="360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3</v>
      </c>
      <c r="D18" s="95">
        <v>343</v>
      </c>
      <c r="E18" s="96">
        <v>46050</v>
      </c>
      <c r="F18" s="336">
        <v>14.5</v>
      </c>
      <c r="G18" s="97">
        <v>35</v>
      </c>
      <c r="H18" s="95" t="s">
        <v>18</v>
      </c>
      <c r="I18" s="98" t="s">
        <v>30</v>
      </c>
      <c r="J18" s="98">
        <v>46</v>
      </c>
      <c r="K18" s="95" t="s">
        <v>20</v>
      </c>
      <c r="L18" s="98">
        <v>7</v>
      </c>
      <c r="M18" s="264">
        <v>11</v>
      </c>
      <c r="N18" s="100">
        <v>8.1521739130434803</v>
      </c>
      <c r="O18" s="289">
        <v>22</v>
      </c>
      <c r="P18" s="360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3</v>
      </c>
      <c r="D19" s="95">
        <v>344</v>
      </c>
      <c r="E19" s="96">
        <v>46050</v>
      </c>
      <c r="F19" s="336">
        <v>14.2</v>
      </c>
      <c r="G19" s="97">
        <v>36</v>
      </c>
      <c r="H19" s="95" t="s">
        <v>18</v>
      </c>
      <c r="I19" s="98" t="s">
        <v>30</v>
      </c>
      <c r="J19" s="98">
        <v>123</v>
      </c>
      <c r="K19" s="95" t="s">
        <v>20</v>
      </c>
      <c r="L19" s="98">
        <v>7</v>
      </c>
      <c r="M19" s="264">
        <v>12</v>
      </c>
      <c r="N19" s="100">
        <v>8.85</v>
      </c>
      <c r="O19" s="289">
        <v>43</v>
      </c>
      <c r="P19" s="360"/>
      <c r="Q19" s="13"/>
    </row>
    <row r="20" spans="1:17" ht="19.5" customHeight="1" x14ac:dyDescent="0.25">
      <c r="A20" s="49"/>
      <c r="B20" s="94">
        <f>B19</f>
        <v>2026</v>
      </c>
      <c r="C20" s="94">
        <f>C5</f>
        <v>3</v>
      </c>
      <c r="D20" s="95">
        <v>345</v>
      </c>
      <c r="E20" s="96"/>
      <c r="F20" s="336"/>
      <c r="G20" s="97"/>
      <c r="H20" s="95" t="s">
        <v>21</v>
      </c>
      <c r="I20" s="98"/>
      <c r="J20" s="98"/>
      <c r="K20" s="95"/>
      <c r="L20" s="98"/>
      <c r="M20" s="264"/>
      <c r="N20" s="100"/>
      <c r="O20" s="289"/>
      <c r="P20" s="360"/>
      <c r="Q20" s="13"/>
    </row>
    <row r="21" spans="1:17" ht="19.5" customHeight="1" x14ac:dyDescent="0.25">
      <c r="A21" s="49"/>
      <c r="B21" s="102">
        <f>B20</f>
        <v>2026</v>
      </c>
      <c r="C21" s="102">
        <f>C6</f>
        <v>3</v>
      </c>
      <c r="D21" s="103">
        <v>346</v>
      </c>
      <c r="E21" s="96">
        <v>46050</v>
      </c>
      <c r="F21" s="336">
        <v>15.9</v>
      </c>
      <c r="G21" s="97">
        <v>29</v>
      </c>
      <c r="H21" s="95" t="s">
        <v>18</v>
      </c>
      <c r="I21" s="98" t="s">
        <v>30</v>
      </c>
      <c r="J21" s="98">
        <v>236</v>
      </c>
      <c r="K21" s="95" t="s">
        <v>20</v>
      </c>
      <c r="L21" s="98">
        <v>7</v>
      </c>
      <c r="M21" s="264">
        <v>12</v>
      </c>
      <c r="N21" s="100"/>
      <c r="O21" s="289">
        <v>14</v>
      </c>
      <c r="P21" s="360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3</v>
      </c>
      <c r="D22" s="95">
        <v>347</v>
      </c>
      <c r="E22" s="105">
        <v>46050</v>
      </c>
      <c r="F22" s="337">
        <v>8.5</v>
      </c>
      <c r="G22" s="97">
        <v>44</v>
      </c>
      <c r="H22" s="95" t="s">
        <v>18</v>
      </c>
      <c r="I22" s="98" t="s">
        <v>30</v>
      </c>
      <c r="J22" s="98">
        <v>249</v>
      </c>
      <c r="K22" s="95" t="s">
        <v>20</v>
      </c>
      <c r="L22" s="98">
        <v>8</v>
      </c>
      <c r="M22" s="264">
        <v>13</v>
      </c>
      <c r="N22" s="100"/>
      <c r="O22" s="289">
        <v>51</v>
      </c>
      <c r="P22" s="360"/>
      <c r="Q22" s="13"/>
    </row>
    <row r="23" spans="1:17" ht="19.5" customHeight="1" x14ac:dyDescent="0.25">
      <c r="A23" s="49"/>
      <c r="B23" s="94">
        <f>B22</f>
        <v>2026</v>
      </c>
      <c r="C23" s="106">
        <f>C5</f>
        <v>3</v>
      </c>
      <c r="D23" s="107">
        <v>348</v>
      </c>
      <c r="E23" s="96">
        <v>46050</v>
      </c>
      <c r="F23" s="336">
        <v>7</v>
      </c>
      <c r="G23" s="97">
        <v>56</v>
      </c>
      <c r="H23" s="95" t="s">
        <v>18</v>
      </c>
      <c r="I23" s="98" t="s">
        <v>30</v>
      </c>
      <c r="J23" s="98">
        <v>118</v>
      </c>
      <c r="K23" s="95" t="s">
        <v>20</v>
      </c>
      <c r="L23" s="98">
        <v>7</v>
      </c>
      <c r="M23" s="264">
        <v>12</v>
      </c>
      <c r="N23" s="108">
        <v>9.9101123595505598</v>
      </c>
      <c r="O23" s="290">
        <v>15</v>
      </c>
      <c r="P23" s="360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3</v>
      </c>
      <c r="D24" s="111">
        <v>349</v>
      </c>
      <c r="E24" s="112">
        <v>45685</v>
      </c>
      <c r="F24" s="338">
        <v>4.7</v>
      </c>
      <c r="G24" s="113">
        <v>84</v>
      </c>
      <c r="H24" s="111" t="s">
        <v>18</v>
      </c>
      <c r="I24" s="114" t="s">
        <v>30</v>
      </c>
      <c r="J24" s="114">
        <v>28</v>
      </c>
      <c r="K24" s="111" t="s">
        <v>20</v>
      </c>
      <c r="L24" s="114">
        <v>8</v>
      </c>
      <c r="M24" s="265">
        <v>11</v>
      </c>
      <c r="N24" s="116">
        <v>9.8000000000000007</v>
      </c>
      <c r="O24" s="291">
        <v>0</v>
      </c>
      <c r="P24" s="361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3</v>
      </c>
      <c r="D25" s="118">
        <v>401</v>
      </c>
      <c r="E25" s="120">
        <v>46048</v>
      </c>
      <c r="F25" s="339"/>
      <c r="G25" s="121">
        <v>38</v>
      </c>
      <c r="H25" s="118" t="s">
        <v>18</v>
      </c>
      <c r="I25" s="122" t="s">
        <v>30</v>
      </c>
      <c r="J25" s="122">
        <v>30</v>
      </c>
      <c r="K25" s="118" t="s">
        <v>20</v>
      </c>
      <c r="L25" s="122">
        <v>6</v>
      </c>
      <c r="M25" s="266">
        <v>12</v>
      </c>
      <c r="N25" s="124">
        <v>8.06666666666667</v>
      </c>
      <c r="O25" s="292">
        <v>21</v>
      </c>
      <c r="P25" s="362" t="s">
        <v>39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3</v>
      </c>
      <c r="D26" s="127">
        <v>404</v>
      </c>
      <c r="E26" s="128">
        <v>46048</v>
      </c>
      <c r="F26" s="339">
        <v>29.6</v>
      </c>
      <c r="G26" s="121">
        <v>26</v>
      </c>
      <c r="H26" s="127" t="s">
        <v>18</v>
      </c>
      <c r="I26" s="129" t="s">
        <v>30</v>
      </c>
      <c r="J26" s="129">
        <v>35</v>
      </c>
      <c r="K26" s="127" t="s">
        <v>20</v>
      </c>
      <c r="L26" s="129">
        <v>6</v>
      </c>
      <c r="M26" s="267">
        <v>10</v>
      </c>
      <c r="N26" s="131">
        <v>8</v>
      </c>
      <c r="O26" s="293">
        <v>22</v>
      </c>
      <c r="P26" s="362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3</v>
      </c>
      <c r="D27" s="134">
        <v>405</v>
      </c>
      <c r="E27" s="135">
        <v>46048</v>
      </c>
      <c r="F27" s="138">
        <v>32.5</v>
      </c>
      <c r="G27" s="136">
        <v>20</v>
      </c>
      <c r="H27" s="134" t="s">
        <v>18</v>
      </c>
      <c r="I27" s="136" t="s">
        <v>30</v>
      </c>
      <c r="J27" s="136">
        <v>13</v>
      </c>
      <c r="K27" s="134" t="s">
        <v>20</v>
      </c>
      <c r="L27" s="136">
        <v>7</v>
      </c>
      <c r="M27" s="268">
        <v>9</v>
      </c>
      <c r="N27" s="138">
        <v>7.9230769230769198</v>
      </c>
      <c r="O27" s="294">
        <v>12</v>
      </c>
      <c r="P27" s="362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3</v>
      </c>
      <c r="D28" s="141">
        <v>411</v>
      </c>
      <c r="E28" s="142">
        <v>46048</v>
      </c>
      <c r="F28" s="145"/>
      <c r="G28" s="143">
        <v>42</v>
      </c>
      <c r="H28" s="141" t="s">
        <v>18</v>
      </c>
      <c r="I28" s="143" t="s">
        <v>30</v>
      </c>
      <c r="J28" s="143">
        <v>46</v>
      </c>
      <c r="K28" s="141" t="s">
        <v>20</v>
      </c>
      <c r="L28" s="143">
        <v>7</v>
      </c>
      <c r="M28" s="269">
        <v>9</v>
      </c>
      <c r="N28" s="145">
        <v>7.9130434782608701</v>
      </c>
      <c r="O28" s="295">
        <v>33</v>
      </c>
      <c r="P28" s="363" t="s">
        <v>40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3</v>
      </c>
      <c r="D29" s="148" t="s">
        <v>33</v>
      </c>
      <c r="E29" s="149">
        <v>46048</v>
      </c>
      <c r="F29" s="152"/>
      <c r="G29" s="150">
        <v>33</v>
      </c>
      <c r="H29" s="148" t="s">
        <v>18</v>
      </c>
      <c r="I29" s="150" t="s">
        <v>30</v>
      </c>
      <c r="J29" s="150">
        <v>24</v>
      </c>
      <c r="K29" s="148" t="s">
        <v>20</v>
      </c>
      <c r="L29" s="150">
        <v>6</v>
      </c>
      <c r="M29" s="270">
        <v>9</v>
      </c>
      <c r="N29" s="152">
        <v>7.0833333333333304</v>
      </c>
      <c r="O29" s="296">
        <v>17</v>
      </c>
      <c r="P29" s="363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3</v>
      </c>
      <c r="D30" s="148">
        <v>501</v>
      </c>
      <c r="E30" s="154">
        <v>46048</v>
      </c>
      <c r="F30" s="340">
        <v>33</v>
      </c>
      <c r="G30" s="155">
        <v>38</v>
      </c>
      <c r="H30" s="148" t="s">
        <v>18</v>
      </c>
      <c r="I30" s="150" t="s">
        <v>30</v>
      </c>
      <c r="J30" s="150">
        <v>58</v>
      </c>
      <c r="K30" s="148" t="s">
        <v>20</v>
      </c>
      <c r="L30" s="150">
        <v>6</v>
      </c>
      <c r="M30" s="270">
        <v>9</v>
      </c>
      <c r="N30" s="152">
        <v>7.1071428571428603</v>
      </c>
      <c r="O30" s="296">
        <v>49</v>
      </c>
      <c r="P30" s="363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3</v>
      </c>
      <c r="D31" s="148">
        <v>504</v>
      </c>
      <c r="E31" s="149">
        <v>46048</v>
      </c>
      <c r="F31" s="152"/>
      <c r="G31" s="150">
        <v>40</v>
      </c>
      <c r="H31" s="148" t="s">
        <v>18</v>
      </c>
      <c r="I31" s="150" t="s">
        <v>30</v>
      </c>
      <c r="J31" s="150">
        <v>31</v>
      </c>
      <c r="K31" s="148" t="s">
        <v>20</v>
      </c>
      <c r="L31" s="150">
        <v>6</v>
      </c>
      <c r="M31" s="270">
        <v>9</v>
      </c>
      <c r="N31" s="152">
        <v>7.5483870967741904</v>
      </c>
      <c r="O31" s="296">
        <v>26</v>
      </c>
      <c r="P31" s="363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3</v>
      </c>
      <c r="D32" s="148">
        <v>519</v>
      </c>
      <c r="E32" s="149">
        <v>46048</v>
      </c>
      <c r="F32" s="152">
        <v>25.3</v>
      </c>
      <c r="G32" s="150">
        <v>29</v>
      </c>
      <c r="H32" s="148" t="s">
        <v>18</v>
      </c>
      <c r="I32" s="150" t="s">
        <v>30</v>
      </c>
      <c r="J32" s="150">
        <v>32</v>
      </c>
      <c r="K32" s="148" t="s">
        <v>20</v>
      </c>
      <c r="L32" s="150">
        <v>6</v>
      </c>
      <c r="M32" s="270">
        <v>7</v>
      </c>
      <c r="N32" s="152">
        <v>6.7</v>
      </c>
      <c r="O32" s="296">
        <v>13</v>
      </c>
      <c r="P32" s="363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3</v>
      </c>
      <c r="D33" s="148">
        <v>602</v>
      </c>
      <c r="E33" s="154">
        <v>46050</v>
      </c>
      <c r="F33" s="340">
        <v>17.600000000000001</v>
      </c>
      <c r="G33" s="155">
        <v>38</v>
      </c>
      <c r="H33" s="148" t="s">
        <v>18</v>
      </c>
      <c r="I33" s="150" t="s">
        <v>30</v>
      </c>
      <c r="J33" s="150">
        <v>50</v>
      </c>
      <c r="K33" s="148" t="s">
        <v>20</v>
      </c>
      <c r="L33" s="150">
        <v>7</v>
      </c>
      <c r="M33" s="270">
        <v>10</v>
      </c>
      <c r="N33" s="152">
        <v>7.98</v>
      </c>
      <c r="O33" s="296">
        <v>39</v>
      </c>
      <c r="P33" s="363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3</v>
      </c>
      <c r="D34" s="148">
        <v>606</v>
      </c>
      <c r="E34" s="149">
        <v>46050</v>
      </c>
      <c r="F34" s="152">
        <v>26.7</v>
      </c>
      <c r="G34" s="150">
        <v>42</v>
      </c>
      <c r="H34" s="148" t="s">
        <v>18</v>
      </c>
      <c r="I34" s="150" t="s">
        <v>30</v>
      </c>
      <c r="J34" s="150">
        <v>124</v>
      </c>
      <c r="K34" s="148" t="s">
        <v>20</v>
      </c>
      <c r="L34" s="150">
        <v>6</v>
      </c>
      <c r="M34" s="270">
        <v>11</v>
      </c>
      <c r="N34" s="152">
        <v>7.6770833333333304</v>
      </c>
      <c r="O34" s="296">
        <v>76</v>
      </c>
      <c r="P34" s="363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3</v>
      </c>
      <c r="D35" s="148">
        <v>609</v>
      </c>
      <c r="E35" s="149">
        <v>46050</v>
      </c>
      <c r="F35" s="152">
        <v>22.5</v>
      </c>
      <c r="G35" s="150">
        <v>38</v>
      </c>
      <c r="H35" s="148" t="s">
        <v>18</v>
      </c>
      <c r="I35" s="150" t="s">
        <v>30</v>
      </c>
      <c r="J35" s="150">
        <v>5</v>
      </c>
      <c r="K35" s="148" t="s">
        <v>20</v>
      </c>
      <c r="L35" s="150">
        <v>6</v>
      </c>
      <c r="M35" s="270">
        <v>6</v>
      </c>
      <c r="N35" s="152">
        <v>6</v>
      </c>
      <c r="O35" s="296">
        <v>2</v>
      </c>
      <c r="P35" s="363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3</v>
      </c>
      <c r="D36" s="158">
        <v>610</v>
      </c>
      <c r="E36" s="159">
        <v>46050</v>
      </c>
      <c r="F36" s="341">
        <v>12.5</v>
      </c>
      <c r="G36" s="160">
        <v>72</v>
      </c>
      <c r="H36" s="158" t="s">
        <v>18</v>
      </c>
      <c r="I36" s="161" t="s">
        <v>30</v>
      </c>
      <c r="J36" s="161">
        <v>11</v>
      </c>
      <c r="K36" s="158" t="s">
        <v>20</v>
      </c>
      <c r="L36" s="161">
        <v>6</v>
      </c>
      <c r="M36" s="271">
        <v>7</v>
      </c>
      <c r="N36" s="163">
        <v>6.875</v>
      </c>
      <c r="O36" s="297">
        <v>3</v>
      </c>
      <c r="P36" s="363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3</v>
      </c>
      <c r="D37" s="167">
        <v>508</v>
      </c>
      <c r="E37" s="168">
        <v>46048</v>
      </c>
      <c r="F37" s="342">
        <v>21.5</v>
      </c>
      <c r="G37" s="169">
        <v>35</v>
      </c>
      <c r="H37" s="170" t="s">
        <v>18</v>
      </c>
      <c r="I37" s="170" t="s">
        <v>30</v>
      </c>
      <c r="J37" s="170">
        <v>38</v>
      </c>
      <c r="K37" s="167" t="s">
        <v>20</v>
      </c>
      <c r="L37" s="170">
        <v>6</v>
      </c>
      <c r="M37" s="272">
        <v>8</v>
      </c>
      <c r="N37" s="172">
        <v>6.6</v>
      </c>
      <c r="O37" s="298">
        <v>33</v>
      </c>
      <c r="P37" s="364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3</v>
      </c>
      <c r="D38" s="175">
        <v>513</v>
      </c>
      <c r="E38" s="176">
        <v>46048</v>
      </c>
      <c r="F38" s="343">
        <v>16.8</v>
      </c>
      <c r="G38" s="177">
        <v>53</v>
      </c>
      <c r="H38" s="178" t="s">
        <v>18</v>
      </c>
      <c r="I38" s="178" t="s">
        <v>30</v>
      </c>
      <c r="J38" s="178">
        <v>48</v>
      </c>
      <c r="K38" s="175" t="s">
        <v>20</v>
      </c>
      <c r="L38" s="178">
        <v>5</v>
      </c>
      <c r="M38" s="273">
        <v>81</v>
      </c>
      <c r="N38" s="180">
        <v>8.4166666666666696</v>
      </c>
      <c r="O38" s="299">
        <v>26</v>
      </c>
      <c r="P38" s="364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3</v>
      </c>
      <c r="D39" s="175">
        <v>520</v>
      </c>
      <c r="E39" s="176">
        <v>46048</v>
      </c>
      <c r="F39" s="343">
        <v>13.7</v>
      </c>
      <c r="G39" s="177">
        <v>52</v>
      </c>
      <c r="H39" s="178" t="s">
        <v>18</v>
      </c>
      <c r="I39" s="178" t="s">
        <v>30</v>
      </c>
      <c r="J39" s="178">
        <v>13</v>
      </c>
      <c r="K39" s="175" t="s">
        <v>20</v>
      </c>
      <c r="L39" s="178">
        <v>6</v>
      </c>
      <c r="M39" s="273">
        <v>7</v>
      </c>
      <c r="N39" s="180">
        <v>6.7</v>
      </c>
      <c r="O39" s="299">
        <v>6</v>
      </c>
      <c r="P39" s="364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3</v>
      </c>
      <c r="D40" s="175">
        <v>801</v>
      </c>
      <c r="E40" s="176">
        <v>46048</v>
      </c>
      <c r="F40" s="343"/>
      <c r="G40" s="177">
        <v>58</v>
      </c>
      <c r="H40" s="178" t="s">
        <v>18</v>
      </c>
      <c r="I40" s="178" t="s">
        <v>30</v>
      </c>
      <c r="J40" s="178">
        <v>16</v>
      </c>
      <c r="K40" s="175" t="s">
        <v>20</v>
      </c>
      <c r="L40" s="178">
        <v>6</v>
      </c>
      <c r="M40" s="273">
        <v>7</v>
      </c>
      <c r="N40" s="180">
        <v>6.4285714285714297</v>
      </c>
      <c r="O40" s="299">
        <v>4</v>
      </c>
      <c r="P40" s="364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3</v>
      </c>
      <c r="D41" s="184">
        <v>804</v>
      </c>
      <c r="E41" s="185">
        <v>46048</v>
      </c>
      <c r="F41" s="344">
        <v>13.3</v>
      </c>
      <c r="G41" s="186">
        <v>64</v>
      </c>
      <c r="H41" s="187" t="s">
        <v>18</v>
      </c>
      <c r="I41" s="187" t="s">
        <v>30</v>
      </c>
      <c r="J41" s="187">
        <v>9</v>
      </c>
      <c r="K41" s="184" t="s">
        <v>20</v>
      </c>
      <c r="L41" s="187">
        <v>6</v>
      </c>
      <c r="M41" s="274">
        <v>7</v>
      </c>
      <c r="N41" s="189">
        <v>6.2222222222222197</v>
      </c>
      <c r="O41" s="300">
        <v>9</v>
      </c>
      <c r="P41" s="364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3</v>
      </c>
      <c r="D42" s="193">
        <v>703</v>
      </c>
      <c r="E42" s="194">
        <v>46050</v>
      </c>
      <c r="F42" s="345">
        <v>11.8</v>
      </c>
      <c r="G42" s="195">
        <v>82</v>
      </c>
      <c r="H42" s="196" t="s">
        <v>18</v>
      </c>
      <c r="I42" s="197" t="s">
        <v>30</v>
      </c>
      <c r="J42" s="197">
        <v>2</v>
      </c>
      <c r="K42" s="193" t="s">
        <v>20</v>
      </c>
      <c r="L42" s="197">
        <v>7</v>
      </c>
      <c r="M42" s="275">
        <v>8</v>
      </c>
      <c r="N42" s="199">
        <v>7.5</v>
      </c>
      <c r="O42" s="301">
        <v>0</v>
      </c>
      <c r="P42" s="365" t="s">
        <v>41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3</v>
      </c>
      <c r="D43" s="203">
        <v>704</v>
      </c>
      <c r="E43" s="204">
        <v>46050</v>
      </c>
      <c r="F43" s="346">
        <v>10.6</v>
      </c>
      <c r="G43" s="205">
        <v>58</v>
      </c>
      <c r="H43" s="196" t="s">
        <v>18</v>
      </c>
      <c r="I43" s="206" t="s">
        <v>30</v>
      </c>
      <c r="J43" s="206">
        <v>8</v>
      </c>
      <c r="K43" s="203" t="s">
        <v>20</v>
      </c>
      <c r="L43" s="206">
        <v>6</v>
      </c>
      <c r="M43" s="276">
        <v>7</v>
      </c>
      <c r="N43" s="208">
        <v>6.625</v>
      </c>
      <c r="O43" s="302">
        <v>8</v>
      </c>
      <c r="P43" s="366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3</v>
      </c>
      <c r="D44" s="203">
        <v>705</v>
      </c>
      <c r="E44" s="204">
        <v>46049</v>
      </c>
      <c r="F44" s="346">
        <v>9.3000000000000007</v>
      </c>
      <c r="G44" s="205">
        <v>96</v>
      </c>
      <c r="H44" s="196" t="s">
        <v>18</v>
      </c>
      <c r="I44" s="206" t="s">
        <v>30</v>
      </c>
      <c r="J44" s="206">
        <v>5</v>
      </c>
      <c r="K44" s="203" t="s">
        <v>20</v>
      </c>
      <c r="L44" s="206">
        <v>6</v>
      </c>
      <c r="M44" s="276">
        <v>7</v>
      </c>
      <c r="N44" s="208">
        <v>6.6</v>
      </c>
      <c r="O44" s="302">
        <v>4</v>
      </c>
      <c r="P44" s="366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3</v>
      </c>
      <c r="D45" s="203">
        <v>706</v>
      </c>
      <c r="E45" s="204">
        <v>46049</v>
      </c>
      <c r="F45" s="346">
        <v>15.3</v>
      </c>
      <c r="G45" s="205">
        <v>55</v>
      </c>
      <c r="H45" s="196" t="s">
        <v>18</v>
      </c>
      <c r="I45" s="206" t="s">
        <v>30</v>
      </c>
      <c r="J45" s="206">
        <v>2</v>
      </c>
      <c r="K45" s="203" t="s">
        <v>20</v>
      </c>
      <c r="L45" s="206">
        <v>5</v>
      </c>
      <c r="M45" s="276">
        <v>5</v>
      </c>
      <c r="N45" s="208">
        <v>5</v>
      </c>
      <c r="O45" s="302">
        <v>1</v>
      </c>
      <c r="P45" s="366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3</v>
      </c>
      <c r="D46" s="203">
        <v>707</v>
      </c>
      <c r="E46" s="204">
        <v>46049</v>
      </c>
      <c r="F46" s="346">
        <v>12.8</v>
      </c>
      <c r="G46" s="205">
        <v>62</v>
      </c>
      <c r="H46" s="196" t="s">
        <v>18</v>
      </c>
      <c r="I46" s="206" t="s">
        <v>30</v>
      </c>
      <c r="J46" s="206">
        <v>3</v>
      </c>
      <c r="K46" s="203" t="s">
        <v>20</v>
      </c>
      <c r="L46" s="206">
        <v>6</v>
      </c>
      <c r="M46" s="276">
        <v>6</v>
      </c>
      <c r="N46" s="208">
        <v>6</v>
      </c>
      <c r="O46" s="302">
        <v>3</v>
      </c>
      <c r="P46" s="366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3</v>
      </c>
      <c r="D47" s="203">
        <v>711</v>
      </c>
      <c r="E47" s="204">
        <v>46049</v>
      </c>
      <c r="F47" s="346">
        <v>15</v>
      </c>
      <c r="G47" s="205">
        <v>68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6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3</v>
      </c>
      <c r="D48" s="211">
        <v>716</v>
      </c>
      <c r="E48" s="212">
        <v>46049</v>
      </c>
      <c r="F48" s="347">
        <v>10.1</v>
      </c>
      <c r="G48" s="213">
        <v>79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6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3</v>
      </c>
      <c r="D49" s="203">
        <v>723</v>
      </c>
      <c r="E49" s="204">
        <v>46049</v>
      </c>
      <c r="F49" s="346">
        <v>10.1</v>
      </c>
      <c r="G49" s="205">
        <v>82</v>
      </c>
      <c r="H49" s="196" t="s">
        <v>18</v>
      </c>
      <c r="I49" s="205" t="s">
        <v>30</v>
      </c>
      <c r="J49" s="206">
        <v>2</v>
      </c>
      <c r="K49" s="196" t="s">
        <v>20</v>
      </c>
      <c r="L49" s="205">
        <v>6</v>
      </c>
      <c r="M49" s="279">
        <v>6</v>
      </c>
      <c r="N49" s="219">
        <v>6</v>
      </c>
      <c r="O49" s="304">
        <v>2</v>
      </c>
      <c r="P49" s="367"/>
      <c r="Q49" s="13"/>
    </row>
    <row r="50" spans="1:17" ht="19.5" customHeight="1" thickBot="1" x14ac:dyDescent="0.3">
      <c r="A50" s="49"/>
      <c r="B50" s="221">
        <v>2026</v>
      </c>
      <c r="C50" s="222">
        <f>C3</f>
        <v>3</v>
      </c>
      <c r="D50" s="223">
        <v>809</v>
      </c>
      <c r="E50" s="224">
        <v>46048</v>
      </c>
      <c r="F50" s="348">
        <v>11</v>
      </c>
      <c r="G50" s="225">
        <v>84</v>
      </c>
      <c r="H50" s="223" t="s">
        <v>18</v>
      </c>
      <c r="I50" s="226" t="s">
        <v>30</v>
      </c>
      <c r="J50" s="226">
        <v>5</v>
      </c>
      <c r="K50" s="223" t="s">
        <v>20</v>
      </c>
      <c r="L50" s="226">
        <v>6</v>
      </c>
      <c r="M50" s="280">
        <v>7</v>
      </c>
      <c r="N50" s="228">
        <v>6.8</v>
      </c>
      <c r="O50" s="305">
        <v>0</v>
      </c>
      <c r="P50" s="357" t="s">
        <v>35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3</v>
      </c>
      <c r="D51" s="232">
        <v>812</v>
      </c>
      <c r="E51" s="233">
        <v>46048</v>
      </c>
      <c r="F51" s="349">
        <v>8.5</v>
      </c>
      <c r="G51" s="234">
        <v>83</v>
      </c>
      <c r="H51" s="232" t="s">
        <v>18</v>
      </c>
      <c r="I51" s="235" t="s">
        <v>30</v>
      </c>
      <c r="J51" s="235">
        <v>4</v>
      </c>
      <c r="K51" s="232" t="s">
        <v>20</v>
      </c>
      <c r="L51" s="235">
        <v>6</v>
      </c>
      <c r="M51" s="281">
        <v>7</v>
      </c>
      <c r="N51" s="237">
        <v>6.5</v>
      </c>
      <c r="O51" s="306">
        <v>2</v>
      </c>
      <c r="P51" s="357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3</v>
      </c>
      <c r="D52" s="241">
        <v>815</v>
      </c>
      <c r="E52" s="242">
        <v>46048</v>
      </c>
      <c r="F52" s="350">
        <v>8.6</v>
      </c>
      <c r="G52" s="243">
        <v>81</v>
      </c>
      <c r="H52" s="244" t="s">
        <v>18</v>
      </c>
      <c r="I52" s="245" t="s">
        <v>30</v>
      </c>
      <c r="J52" s="245">
        <v>2</v>
      </c>
      <c r="K52" s="241" t="s">
        <v>20</v>
      </c>
      <c r="L52" s="245">
        <v>6</v>
      </c>
      <c r="M52" s="282">
        <v>6</v>
      </c>
      <c r="N52" s="247">
        <v>6</v>
      </c>
      <c r="O52" s="307">
        <v>2</v>
      </c>
      <c r="P52" s="357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3</v>
      </c>
      <c r="D53" s="241">
        <v>901</v>
      </c>
      <c r="E53" s="249">
        <v>46048</v>
      </c>
      <c r="F53" s="351">
        <v>8.5</v>
      </c>
      <c r="G53" s="243">
        <v>81</v>
      </c>
      <c r="H53" s="244" t="s">
        <v>18</v>
      </c>
      <c r="I53" s="245" t="s">
        <v>30</v>
      </c>
      <c r="J53" s="245">
        <v>5</v>
      </c>
      <c r="K53" s="241" t="s">
        <v>20</v>
      </c>
      <c r="L53" s="245">
        <v>6</v>
      </c>
      <c r="M53" s="282">
        <v>7</v>
      </c>
      <c r="N53" s="247">
        <v>6.5</v>
      </c>
      <c r="O53" s="307">
        <v>2</v>
      </c>
      <c r="P53" s="357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3</v>
      </c>
      <c r="D54" s="241">
        <v>902</v>
      </c>
      <c r="E54" s="249">
        <v>46048</v>
      </c>
      <c r="F54" s="351">
        <v>6</v>
      </c>
      <c r="G54" s="243">
        <v>123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7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3</v>
      </c>
      <c r="D55" s="241">
        <v>906</v>
      </c>
      <c r="E55" s="249">
        <v>46049</v>
      </c>
      <c r="F55" s="351">
        <v>6</v>
      </c>
      <c r="G55" s="243">
        <v>134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7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3</v>
      </c>
      <c r="D56" s="241">
        <v>910</v>
      </c>
      <c r="E56" s="249">
        <v>46048</v>
      </c>
      <c r="F56" s="351">
        <v>8</v>
      </c>
      <c r="G56" s="243">
        <v>104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7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3</v>
      </c>
      <c r="D57" s="241">
        <v>912</v>
      </c>
      <c r="E57" s="249">
        <v>46048</v>
      </c>
      <c r="F57" s="351">
        <v>2.4</v>
      </c>
      <c r="G57" s="243">
        <v>200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7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3</v>
      </c>
      <c r="D58" s="241">
        <v>914</v>
      </c>
      <c r="E58" s="249">
        <v>46048</v>
      </c>
      <c r="F58" s="351">
        <v>4.5999999999999996</v>
      </c>
      <c r="G58" s="243">
        <v>159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7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3</v>
      </c>
      <c r="D59" s="241">
        <v>915</v>
      </c>
      <c r="E59" s="249">
        <v>46048</v>
      </c>
      <c r="F59" s="351">
        <v>5.3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7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3</v>
      </c>
      <c r="D60" s="241">
        <v>918</v>
      </c>
      <c r="E60" s="249">
        <v>46048</v>
      </c>
      <c r="F60" s="351">
        <v>4.7</v>
      </c>
      <c r="G60" s="243">
        <v>147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7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3</v>
      </c>
      <c r="D61" s="252">
        <v>919</v>
      </c>
      <c r="E61" s="253">
        <v>46049</v>
      </c>
      <c r="F61" s="352">
        <v>3.7</v>
      </c>
      <c r="G61" s="254">
        <v>194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7"/>
      <c r="Q61" s="13"/>
    </row>
    <row r="62" spans="1:17" ht="19.5" customHeight="1" x14ac:dyDescent="0.25">
      <c r="A62" s="49"/>
      <c r="B62" s="4" t="s">
        <v>24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25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26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48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3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42</v>
      </c>
      <c r="I69" s="14">
        <v>59</v>
      </c>
      <c r="Q69" s="45"/>
    </row>
    <row r="70" spans="1:30" ht="15" customHeight="1" x14ac:dyDescent="0.2">
      <c r="H70" s="41" t="s">
        <v>43</v>
      </c>
      <c r="I70" s="14">
        <v>45</v>
      </c>
    </row>
    <row r="71" spans="1:30" ht="15" customHeight="1" x14ac:dyDescent="0.2">
      <c r="H71" s="41" t="s">
        <v>44</v>
      </c>
      <c r="I71" s="46">
        <f>I70/I69</f>
        <v>0.76271186440677963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6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810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78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381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124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22</v>
      </c>
      <c r="J78" s="47"/>
      <c r="M78" s="43"/>
      <c r="N78" s="43"/>
      <c r="O78" s="43"/>
    </row>
    <row r="79" spans="1:30" x14ac:dyDescent="0.2">
      <c r="H79" s="47" t="s">
        <v>45</v>
      </c>
      <c r="I79" s="43">
        <f>SUM(J50:J51)</f>
        <v>9</v>
      </c>
      <c r="J79" s="47"/>
      <c r="M79" s="43"/>
      <c r="N79" s="43"/>
      <c r="O79" s="43"/>
    </row>
    <row r="80" spans="1:30" x14ac:dyDescent="0.2">
      <c r="H80" s="47" t="s">
        <v>46</v>
      </c>
      <c r="I80" s="43">
        <f>SUM(J52:J61)</f>
        <v>7</v>
      </c>
      <c r="J80" s="47"/>
      <c r="M80" s="43"/>
      <c r="N80" s="43"/>
      <c r="O80" s="43"/>
    </row>
    <row r="81" spans="9:15" x14ac:dyDescent="0.2">
      <c r="I81" s="43">
        <f>SUM(I73:I80)</f>
        <v>1437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35A75F43-A0FE-42D3-97E6-374B2BFD641E}">
      <formula1>"Not Processed, Not Sampled, Processed"</formula1>
    </dataValidation>
    <dataValidation type="list" allowBlank="1" showInputMessage="1" showErrorMessage="1" sqref="K3:K61" xr:uid="{16C3A54A-DDB1-472D-BF04-B4F2616193FE}">
      <formula1>"Completed, Preliminary "</formula1>
    </dataValidation>
    <dataValidation type="list" allowBlank="1" showInputMessage="1" showErrorMessage="1" sqref="I3:I61" xr:uid="{4DCC9419-6A71-42BB-B9A2-1DB9B3AB4210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49DE-6B19-4BA2-9D2A-7CF2BD98B504}">
  <dimension ref="A1:AC81"/>
  <sheetViews>
    <sheetView tabSelected="1" topLeftCell="A53" workbookViewId="0">
      <selection activeCell="B3" sqref="B3:P65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36</v>
      </c>
      <c r="D2" s="50" t="s">
        <v>37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'[1]Survey 12'!B3</f>
        <v>2026</v>
      </c>
      <c r="C3" s="55">
        <v>4</v>
      </c>
      <c r="D3" s="55">
        <v>306</v>
      </c>
      <c r="E3" s="56">
        <v>46063</v>
      </c>
      <c r="F3" s="334">
        <v>4.3</v>
      </c>
      <c r="G3" s="57">
        <v>177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58" t="s">
        <v>38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4</v>
      </c>
      <c r="D4" s="64">
        <v>308</v>
      </c>
      <c r="E4" s="65"/>
      <c r="F4" s="70"/>
      <c r="G4" s="66"/>
      <c r="H4" s="67"/>
      <c r="I4" s="68"/>
      <c r="J4" s="66"/>
      <c r="K4" s="64"/>
      <c r="L4" s="66"/>
      <c r="M4" s="260"/>
      <c r="N4" s="70"/>
      <c r="O4" s="285"/>
      <c r="P4" s="358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4</v>
      </c>
      <c r="D5" s="62">
        <v>311</v>
      </c>
      <c r="E5" s="72"/>
      <c r="F5" s="77"/>
      <c r="G5" s="73"/>
      <c r="H5" s="74"/>
      <c r="I5" s="75"/>
      <c r="J5" s="73"/>
      <c r="K5" s="62"/>
      <c r="L5" s="73"/>
      <c r="M5" s="261"/>
      <c r="N5" s="77"/>
      <c r="O5" s="286"/>
      <c r="P5" s="358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4</v>
      </c>
      <c r="D6" s="62">
        <v>315</v>
      </c>
      <c r="E6" s="72">
        <v>46063</v>
      </c>
      <c r="F6" s="77">
        <v>4.9000000000000004</v>
      </c>
      <c r="G6" s="73">
        <v>94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58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4</v>
      </c>
      <c r="D7" s="62">
        <v>322</v>
      </c>
      <c r="E7" s="72"/>
      <c r="F7" s="77"/>
      <c r="G7" s="73"/>
      <c r="H7" s="74"/>
      <c r="I7" s="75"/>
      <c r="J7" s="73"/>
      <c r="K7" s="62"/>
      <c r="L7" s="73"/>
      <c r="M7" s="261"/>
      <c r="N7" s="77"/>
      <c r="O7" s="286"/>
      <c r="P7" s="358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4</v>
      </c>
      <c r="D8" s="62">
        <v>323</v>
      </c>
      <c r="E8" s="72"/>
      <c r="F8" s="77"/>
      <c r="G8" s="73"/>
      <c r="H8" s="74"/>
      <c r="I8" s="75"/>
      <c r="J8" s="73"/>
      <c r="K8" s="62"/>
      <c r="L8" s="73"/>
      <c r="M8" s="261"/>
      <c r="N8" s="77"/>
      <c r="O8" s="286"/>
      <c r="P8" s="358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4</v>
      </c>
      <c r="D9" s="62">
        <v>327</v>
      </c>
      <c r="E9" s="72"/>
      <c r="F9" s="77"/>
      <c r="G9" s="73"/>
      <c r="H9" s="74"/>
      <c r="I9" s="75"/>
      <c r="J9" s="73"/>
      <c r="K9" s="62"/>
      <c r="L9" s="73"/>
      <c r="M9" s="261"/>
      <c r="N9" s="77"/>
      <c r="O9" s="286"/>
      <c r="P9" s="358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4</v>
      </c>
      <c r="D10" s="62">
        <v>328</v>
      </c>
      <c r="E10" s="72"/>
      <c r="F10" s="77"/>
      <c r="G10" s="73"/>
      <c r="H10" s="74"/>
      <c r="I10" s="75"/>
      <c r="J10" s="73"/>
      <c r="K10" s="62"/>
      <c r="L10" s="73"/>
      <c r="M10" s="261"/>
      <c r="N10" s="77"/>
      <c r="O10" s="286"/>
      <c r="P10" s="358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4</v>
      </c>
      <c r="D11" s="62">
        <v>329</v>
      </c>
      <c r="E11" s="72"/>
      <c r="F11" s="77"/>
      <c r="G11" s="73"/>
      <c r="H11" s="74"/>
      <c r="I11" s="75"/>
      <c r="J11" s="73"/>
      <c r="K11" s="62"/>
      <c r="L11" s="73"/>
      <c r="M11" s="261"/>
      <c r="N11" s="77"/>
      <c r="O11" s="286"/>
      <c r="P11" s="358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4</v>
      </c>
      <c r="D12" s="62">
        <v>330</v>
      </c>
      <c r="E12" s="72"/>
      <c r="F12" s="77"/>
      <c r="G12" s="73"/>
      <c r="H12" s="74"/>
      <c r="I12" s="75"/>
      <c r="J12" s="73"/>
      <c r="K12" s="62"/>
      <c r="L12" s="73"/>
      <c r="M12" s="261"/>
      <c r="N12" s="77"/>
      <c r="O12" s="286"/>
      <c r="P12" s="358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4</v>
      </c>
      <c r="D13" s="62">
        <v>335</v>
      </c>
      <c r="E13" s="72"/>
      <c r="F13" s="77"/>
      <c r="G13" s="73"/>
      <c r="H13" s="74"/>
      <c r="I13" s="75"/>
      <c r="J13" s="73"/>
      <c r="K13" s="62"/>
      <c r="L13" s="73"/>
      <c r="M13" s="261"/>
      <c r="N13" s="77"/>
      <c r="O13" s="286"/>
      <c r="P13" s="358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4</v>
      </c>
      <c r="D14" s="62">
        <v>336</v>
      </c>
      <c r="E14" s="72"/>
      <c r="F14" s="77"/>
      <c r="G14" s="73"/>
      <c r="H14" s="74"/>
      <c r="I14" s="75"/>
      <c r="J14" s="73"/>
      <c r="K14" s="62"/>
      <c r="L14" s="73"/>
      <c r="M14" s="261"/>
      <c r="N14" s="77"/>
      <c r="O14" s="286"/>
      <c r="P14" s="358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4</v>
      </c>
      <c r="D15" s="79">
        <v>338</v>
      </c>
      <c r="E15" s="80">
        <v>46064</v>
      </c>
      <c r="F15" s="84">
        <v>5.9</v>
      </c>
      <c r="G15" s="81">
        <v>84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58"/>
      <c r="Q15" s="13"/>
    </row>
    <row r="16" spans="1:17" ht="19.5" customHeight="1" x14ac:dyDescent="0.25">
      <c r="A16" s="49"/>
      <c r="B16" s="86">
        <f>B15</f>
        <v>2026</v>
      </c>
      <c r="C16" s="87">
        <f>C3</f>
        <v>4</v>
      </c>
      <c r="D16" s="86">
        <v>340</v>
      </c>
      <c r="E16" s="88"/>
      <c r="F16" s="335"/>
      <c r="G16" s="89"/>
      <c r="H16" s="86"/>
      <c r="I16" s="90"/>
      <c r="J16" s="90"/>
      <c r="K16" s="86"/>
      <c r="L16" s="90"/>
      <c r="M16" s="263"/>
      <c r="N16" s="92"/>
      <c r="O16" s="288"/>
      <c r="P16" s="359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4</v>
      </c>
      <c r="D17" s="95">
        <v>342</v>
      </c>
      <c r="E17" s="96"/>
      <c r="F17" s="336"/>
      <c r="G17" s="97"/>
      <c r="H17" s="95"/>
      <c r="I17" s="98"/>
      <c r="J17" s="98"/>
      <c r="K17" s="95"/>
      <c r="L17" s="98"/>
      <c r="M17" s="264"/>
      <c r="N17" s="100"/>
      <c r="O17" s="289"/>
      <c r="P17" s="360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4</v>
      </c>
      <c r="D18" s="95">
        <v>343</v>
      </c>
      <c r="E18" s="96">
        <v>46065</v>
      </c>
      <c r="F18" s="336">
        <v>9.8000000000000007</v>
      </c>
      <c r="G18" s="97">
        <v>70</v>
      </c>
      <c r="H18" s="95" t="s">
        <v>18</v>
      </c>
      <c r="I18" s="98" t="s">
        <v>30</v>
      </c>
      <c r="J18" s="98">
        <v>14</v>
      </c>
      <c r="K18" s="95" t="s">
        <v>20</v>
      </c>
      <c r="L18" s="98">
        <v>6</v>
      </c>
      <c r="M18" s="264">
        <v>9</v>
      </c>
      <c r="N18" s="100">
        <v>6.9</v>
      </c>
      <c r="O18" s="289">
        <v>1</v>
      </c>
      <c r="P18" s="360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4</v>
      </c>
      <c r="D19" s="95">
        <v>344</v>
      </c>
      <c r="E19" s="96"/>
      <c r="F19" s="336"/>
      <c r="G19" s="97"/>
      <c r="H19" s="95"/>
      <c r="I19" s="98"/>
      <c r="J19" s="98"/>
      <c r="K19" s="95"/>
      <c r="L19" s="98"/>
      <c r="M19" s="264"/>
      <c r="N19" s="100"/>
      <c r="O19" s="289"/>
      <c r="P19" s="360"/>
      <c r="Q19" s="13"/>
    </row>
    <row r="20" spans="1:17" ht="19.5" customHeight="1" x14ac:dyDescent="0.25">
      <c r="A20" s="49"/>
      <c r="B20" s="94">
        <f>B19</f>
        <v>2026</v>
      </c>
      <c r="C20" s="94">
        <f>C5</f>
        <v>4</v>
      </c>
      <c r="D20" s="95">
        <v>345</v>
      </c>
      <c r="E20" s="96"/>
      <c r="F20" s="336"/>
      <c r="G20" s="97"/>
      <c r="H20" s="95"/>
      <c r="I20" s="98"/>
      <c r="J20" s="98"/>
      <c r="K20" s="95"/>
      <c r="L20" s="98"/>
      <c r="M20" s="264"/>
      <c r="N20" s="100"/>
      <c r="O20" s="289"/>
      <c r="P20" s="360"/>
      <c r="Q20" s="13"/>
    </row>
    <row r="21" spans="1:17" ht="19.5" customHeight="1" x14ac:dyDescent="0.25">
      <c r="A21" s="49"/>
      <c r="B21" s="102">
        <f>B20</f>
        <v>2026</v>
      </c>
      <c r="C21" s="102">
        <f>C6</f>
        <v>4</v>
      </c>
      <c r="D21" s="103">
        <v>346</v>
      </c>
      <c r="E21" s="96">
        <v>46065</v>
      </c>
      <c r="F21" s="336">
        <v>9.1999999999999993</v>
      </c>
      <c r="G21" s="97">
        <v>74</v>
      </c>
      <c r="H21" s="95" t="s">
        <v>18</v>
      </c>
      <c r="I21" s="98" t="s">
        <v>30</v>
      </c>
      <c r="J21" s="98">
        <v>129</v>
      </c>
      <c r="K21" s="95" t="s">
        <v>20</v>
      </c>
      <c r="L21" s="98">
        <v>8</v>
      </c>
      <c r="M21" s="264">
        <v>15</v>
      </c>
      <c r="N21" s="100"/>
      <c r="O21" s="289">
        <v>41</v>
      </c>
      <c r="P21" s="360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4</v>
      </c>
      <c r="D22" s="95">
        <v>347</v>
      </c>
      <c r="E22" s="105">
        <v>46065</v>
      </c>
      <c r="F22" s="337">
        <v>7.2</v>
      </c>
      <c r="G22" s="97">
        <v>66</v>
      </c>
      <c r="H22" s="95" t="s">
        <v>18</v>
      </c>
      <c r="I22" s="98" t="s">
        <v>30</v>
      </c>
      <c r="J22" s="98">
        <v>74</v>
      </c>
      <c r="K22" s="95" t="s">
        <v>20</v>
      </c>
      <c r="L22" s="98">
        <v>8</v>
      </c>
      <c r="M22" s="264">
        <v>15</v>
      </c>
      <c r="N22" s="100"/>
      <c r="O22" s="289">
        <v>5</v>
      </c>
      <c r="P22" s="360"/>
      <c r="Q22" s="13"/>
    </row>
    <row r="23" spans="1:17" ht="19.5" customHeight="1" x14ac:dyDescent="0.25">
      <c r="A23" s="49"/>
      <c r="B23" s="94">
        <f>B22</f>
        <v>2026</v>
      </c>
      <c r="C23" s="106">
        <f>C5</f>
        <v>4</v>
      </c>
      <c r="D23" s="107">
        <v>348</v>
      </c>
      <c r="E23" s="96">
        <v>46065</v>
      </c>
      <c r="F23" s="336">
        <v>6.5</v>
      </c>
      <c r="G23" s="97">
        <v>61</v>
      </c>
      <c r="H23" s="95" t="s">
        <v>18</v>
      </c>
      <c r="I23" s="98" t="s">
        <v>30</v>
      </c>
      <c r="J23" s="98">
        <v>29</v>
      </c>
      <c r="K23" s="95" t="s">
        <v>20</v>
      </c>
      <c r="L23" s="98">
        <v>9</v>
      </c>
      <c r="M23" s="264">
        <v>13</v>
      </c>
      <c r="N23" s="108">
        <v>10.862068965517199</v>
      </c>
      <c r="O23" s="290">
        <v>0</v>
      </c>
      <c r="P23" s="360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4</v>
      </c>
      <c r="D24" s="111">
        <v>349</v>
      </c>
      <c r="E24" s="112"/>
      <c r="F24" s="338"/>
      <c r="G24" s="113"/>
      <c r="H24" s="111"/>
      <c r="I24" s="114"/>
      <c r="J24" s="114"/>
      <c r="K24" s="111"/>
      <c r="L24" s="114"/>
      <c r="M24" s="265"/>
      <c r="N24" s="116"/>
      <c r="O24" s="291"/>
      <c r="P24" s="361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4</v>
      </c>
      <c r="D25" s="118">
        <v>401</v>
      </c>
      <c r="E25" s="120"/>
      <c r="F25" s="339"/>
      <c r="G25" s="121"/>
      <c r="H25" s="118"/>
      <c r="I25" s="122"/>
      <c r="J25" s="122"/>
      <c r="K25" s="118"/>
      <c r="L25" s="122"/>
      <c r="M25" s="266"/>
      <c r="N25" s="124"/>
      <c r="O25" s="292"/>
      <c r="P25" s="362" t="s">
        <v>39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4</v>
      </c>
      <c r="D26" s="127">
        <v>404</v>
      </c>
      <c r="E26" s="128"/>
      <c r="F26" s="339"/>
      <c r="G26" s="121"/>
      <c r="H26" s="127"/>
      <c r="I26" s="129"/>
      <c r="J26" s="129"/>
      <c r="K26" s="127"/>
      <c r="L26" s="129"/>
      <c r="M26" s="267"/>
      <c r="N26" s="131"/>
      <c r="O26" s="293"/>
      <c r="P26" s="362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4</v>
      </c>
      <c r="D27" s="134">
        <v>405</v>
      </c>
      <c r="E27" s="135"/>
      <c r="F27" s="138"/>
      <c r="G27" s="136"/>
      <c r="H27" s="134"/>
      <c r="I27" s="136"/>
      <c r="J27" s="136"/>
      <c r="K27" s="134"/>
      <c r="L27" s="136"/>
      <c r="M27" s="268"/>
      <c r="N27" s="138"/>
      <c r="O27" s="294"/>
      <c r="P27" s="362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4</v>
      </c>
      <c r="D28" s="141">
        <v>411</v>
      </c>
      <c r="E28" s="142"/>
      <c r="F28" s="145"/>
      <c r="G28" s="143"/>
      <c r="H28" s="141"/>
      <c r="I28" s="143"/>
      <c r="J28" s="143"/>
      <c r="K28" s="141"/>
      <c r="L28" s="143"/>
      <c r="M28" s="269"/>
      <c r="N28" s="145"/>
      <c r="O28" s="295"/>
      <c r="P28" s="363" t="s">
        <v>40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4</v>
      </c>
      <c r="D29" s="148">
        <v>418</v>
      </c>
      <c r="E29" s="149"/>
      <c r="F29" s="152"/>
      <c r="G29" s="150"/>
      <c r="H29" s="148"/>
      <c r="I29" s="150"/>
      <c r="J29" s="150"/>
      <c r="K29" s="148"/>
      <c r="L29" s="150"/>
      <c r="M29" s="270"/>
      <c r="N29" s="152"/>
      <c r="O29" s="296"/>
      <c r="P29" s="363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4</v>
      </c>
      <c r="D30" s="148">
        <v>501</v>
      </c>
      <c r="E30" s="154"/>
      <c r="F30" s="340"/>
      <c r="G30" s="155"/>
      <c r="H30" s="148"/>
      <c r="I30" s="150"/>
      <c r="J30" s="150"/>
      <c r="K30" s="148"/>
      <c r="L30" s="150"/>
      <c r="M30" s="270"/>
      <c r="N30" s="152"/>
      <c r="O30" s="296"/>
      <c r="P30" s="363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4</v>
      </c>
      <c r="D31" s="148">
        <v>504</v>
      </c>
      <c r="E31" s="149"/>
      <c r="F31" s="152"/>
      <c r="G31" s="150"/>
      <c r="H31" s="148"/>
      <c r="I31" s="150"/>
      <c r="J31" s="150"/>
      <c r="K31" s="148"/>
      <c r="L31" s="150"/>
      <c r="M31" s="270"/>
      <c r="N31" s="152"/>
      <c r="O31" s="296"/>
      <c r="P31" s="363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4</v>
      </c>
      <c r="D32" s="148">
        <v>519</v>
      </c>
      <c r="E32" s="149">
        <v>46062</v>
      </c>
      <c r="F32" s="152">
        <v>16.100000000000001</v>
      </c>
      <c r="G32" s="150">
        <v>38</v>
      </c>
      <c r="H32" s="148" t="s">
        <v>18</v>
      </c>
      <c r="I32" s="150" t="s">
        <v>23</v>
      </c>
      <c r="J32" s="150">
        <v>89</v>
      </c>
      <c r="K32" s="148" t="s">
        <v>20</v>
      </c>
      <c r="L32" s="150">
        <v>5</v>
      </c>
      <c r="M32" s="270">
        <v>10</v>
      </c>
      <c r="N32" s="152">
        <v>7.0337078651685401</v>
      </c>
      <c r="O32" s="296">
        <v>44</v>
      </c>
      <c r="P32" s="363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4</v>
      </c>
      <c r="D33" s="148">
        <v>602</v>
      </c>
      <c r="E33" s="154"/>
      <c r="F33" s="340"/>
      <c r="G33" s="155"/>
      <c r="H33" s="148"/>
      <c r="I33" s="150"/>
      <c r="J33" s="150"/>
      <c r="K33" s="148"/>
      <c r="L33" s="150"/>
      <c r="M33" s="270"/>
      <c r="N33" s="152"/>
      <c r="O33" s="296"/>
      <c r="P33" s="363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4</v>
      </c>
      <c r="D34" s="148">
        <v>606</v>
      </c>
      <c r="E34" s="149"/>
      <c r="F34" s="152"/>
      <c r="G34" s="150"/>
      <c r="H34" s="148"/>
      <c r="I34" s="150"/>
      <c r="J34" s="150"/>
      <c r="K34" s="148"/>
      <c r="L34" s="150"/>
      <c r="M34" s="270"/>
      <c r="N34" s="152"/>
      <c r="O34" s="296"/>
      <c r="P34" s="363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4</v>
      </c>
      <c r="D35" s="148">
        <v>609</v>
      </c>
      <c r="E35" s="149"/>
      <c r="F35" s="152"/>
      <c r="G35" s="150"/>
      <c r="H35" s="148"/>
      <c r="I35" s="150"/>
      <c r="J35" s="150"/>
      <c r="K35" s="148"/>
      <c r="L35" s="150"/>
      <c r="M35" s="270"/>
      <c r="N35" s="152"/>
      <c r="O35" s="296"/>
      <c r="P35" s="363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4</v>
      </c>
      <c r="D36" s="158">
        <v>610</v>
      </c>
      <c r="E36" s="159">
        <v>46064</v>
      </c>
      <c r="F36" s="341">
        <v>10.199999999999999</v>
      </c>
      <c r="G36" s="160">
        <v>67</v>
      </c>
      <c r="H36" s="158" t="s">
        <v>18</v>
      </c>
      <c r="I36" s="161" t="s">
        <v>23</v>
      </c>
      <c r="J36" s="161">
        <v>14</v>
      </c>
      <c r="K36" s="158" t="s">
        <v>20</v>
      </c>
      <c r="L36" s="161">
        <v>6</v>
      </c>
      <c r="M36" s="271">
        <v>8</v>
      </c>
      <c r="N36" s="163">
        <v>7.1428571428571397</v>
      </c>
      <c r="O36" s="297">
        <v>10</v>
      </c>
      <c r="P36" s="363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4</v>
      </c>
      <c r="D37" s="167">
        <v>508</v>
      </c>
      <c r="E37" s="168"/>
      <c r="F37" s="342"/>
      <c r="G37" s="169"/>
      <c r="H37" s="170"/>
      <c r="I37" s="170"/>
      <c r="J37" s="170"/>
      <c r="K37" s="167"/>
      <c r="L37" s="170"/>
      <c r="M37" s="272"/>
      <c r="N37" s="172"/>
      <c r="O37" s="298"/>
      <c r="P37" s="364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4</v>
      </c>
      <c r="D38" s="175">
        <v>513</v>
      </c>
      <c r="E38" s="176"/>
      <c r="F38" s="343"/>
      <c r="G38" s="177"/>
      <c r="H38" s="178"/>
      <c r="I38" s="178"/>
      <c r="J38" s="178"/>
      <c r="K38" s="175"/>
      <c r="L38" s="178"/>
      <c r="M38" s="273"/>
      <c r="N38" s="180"/>
      <c r="O38" s="299"/>
      <c r="P38" s="364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4</v>
      </c>
      <c r="D39" s="175">
        <v>520</v>
      </c>
      <c r="E39" s="176"/>
      <c r="F39" s="343"/>
      <c r="G39" s="177"/>
      <c r="H39" s="178"/>
      <c r="I39" s="178"/>
      <c r="J39" s="178"/>
      <c r="K39" s="175"/>
      <c r="L39" s="178"/>
      <c r="M39" s="273"/>
      <c r="N39" s="180"/>
      <c r="O39" s="299"/>
      <c r="P39" s="364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4</v>
      </c>
      <c r="D40" s="175">
        <v>801</v>
      </c>
      <c r="E40" s="176">
        <v>46062</v>
      </c>
      <c r="F40" s="343">
        <v>8.6999999999999993</v>
      </c>
      <c r="G40" s="177">
        <v>89</v>
      </c>
      <c r="H40" s="178" t="s">
        <v>18</v>
      </c>
      <c r="I40" s="178" t="s">
        <v>30</v>
      </c>
      <c r="J40" s="178">
        <v>4</v>
      </c>
      <c r="K40" s="175" t="s">
        <v>20</v>
      </c>
      <c r="L40" s="178">
        <v>6</v>
      </c>
      <c r="M40" s="273">
        <v>7</v>
      </c>
      <c r="N40" s="180">
        <v>6.5</v>
      </c>
      <c r="O40" s="299">
        <v>0</v>
      </c>
      <c r="P40" s="364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4</v>
      </c>
      <c r="D41" s="184">
        <v>804</v>
      </c>
      <c r="E41" s="185">
        <v>46063</v>
      </c>
      <c r="F41" s="344">
        <v>8.6</v>
      </c>
      <c r="G41" s="186">
        <v>121</v>
      </c>
      <c r="H41" s="187" t="s">
        <v>18</v>
      </c>
      <c r="I41" s="187" t="s">
        <v>30</v>
      </c>
      <c r="J41" s="187">
        <v>12</v>
      </c>
      <c r="K41" s="184" t="s">
        <v>20</v>
      </c>
      <c r="L41" s="187">
        <v>6</v>
      </c>
      <c r="M41" s="274">
        <v>8</v>
      </c>
      <c r="N41" s="189">
        <v>7.25</v>
      </c>
      <c r="O41" s="300">
        <v>0</v>
      </c>
      <c r="P41" s="364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4</v>
      </c>
      <c r="D42" s="193">
        <v>703</v>
      </c>
      <c r="E42" s="194">
        <v>46063</v>
      </c>
      <c r="F42" s="345">
        <v>6.4</v>
      </c>
      <c r="G42" s="195">
        <v>123</v>
      </c>
      <c r="H42" s="196" t="s">
        <v>18</v>
      </c>
      <c r="I42" s="197" t="s">
        <v>30</v>
      </c>
      <c r="J42" s="197">
        <v>2</v>
      </c>
      <c r="K42" s="193" t="s">
        <v>20</v>
      </c>
      <c r="L42" s="197">
        <v>6</v>
      </c>
      <c r="M42" s="275">
        <v>6</v>
      </c>
      <c r="N42" s="199">
        <v>6</v>
      </c>
      <c r="O42" s="301">
        <v>0</v>
      </c>
      <c r="P42" s="365" t="s">
        <v>41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4</v>
      </c>
      <c r="D43" s="203">
        <v>704</v>
      </c>
      <c r="E43" s="204">
        <v>46063</v>
      </c>
      <c r="F43" s="346">
        <v>6.9</v>
      </c>
      <c r="G43" s="205">
        <v>113</v>
      </c>
      <c r="H43" s="196" t="s">
        <v>18</v>
      </c>
      <c r="I43" s="206" t="s">
        <v>30</v>
      </c>
      <c r="J43" s="206">
        <v>16</v>
      </c>
      <c r="K43" s="203" t="s">
        <v>20</v>
      </c>
      <c r="L43" s="206">
        <v>7</v>
      </c>
      <c r="M43" s="276">
        <v>8</v>
      </c>
      <c r="N43" s="208">
        <v>7.125</v>
      </c>
      <c r="O43" s="302">
        <v>9</v>
      </c>
      <c r="P43" s="366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4</v>
      </c>
      <c r="D44" s="203">
        <v>705</v>
      </c>
      <c r="E44" s="204">
        <v>46063</v>
      </c>
      <c r="F44" s="346">
        <v>4.2</v>
      </c>
      <c r="G44" s="205">
        <v>200</v>
      </c>
      <c r="H44" s="196" t="s">
        <v>18</v>
      </c>
      <c r="I44" s="206" t="s">
        <v>30</v>
      </c>
      <c r="J44" s="206">
        <v>3</v>
      </c>
      <c r="K44" s="203" t="s">
        <v>20</v>
      </c>
      <c r="L44" s="206">
        <v>7</v>
      </c>
      <c r="M44" s="276">
        <v>7</v>
      </c>
      <c r="N44" s="208">
        <v>7</v>
      </c>
      <c r="O44" s="302">
        <v>0</v>
      </c>
      <c r="P44" s="366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4</v>
      </c>
      <c r="D45" s="203">
        <v>706</v>
      </c>
      <c r="E45" s="204">
        <v>46063</v>
      </c>
      <c r="F45" s="346">
        <v>6.2</v>
      </c>
      <c r="G45" s="205">
        <v>125</v>
      </c>
      <c r="H45" s="196" t="s">
        <v>18</v>
      </c>
      <c r="I45" s="206" t="s">
        <v>30</v>
      </c>
      <c r="J45" s="206">
        <v>21</v>
      </c>
      <c r="K45" s="203" t="s">
        <v>20</v>
      </c>
      <c r="L45" s="206">
        <v>7</v>
      </c>
      <c r="M45" s="276">
        <v>8</v>
      </c>
      <c r="N45" s="208">
        <v>7.1052631578947398</v>
      </c>
      <c r="O45" s="302">
        <v>9</v>
      </c>
      <c r="P45" s="366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4</v>
      </c>
      <c r="D46" s="203">
        <v>707</v>
      </c>
      <c r="E46" s="204">
        <v>46063</v>
      </c>
      <c r="F46" s="346">
        <v>6</v>
      </c>
      <c r="G46" s="205">
        <v>135</v>
      </c>
      <c r="H46" s="196" t="s">
        <v>18</v>
      </c>
      <c r="I46" s="206" t="s">
        <v>30</v>
      </c>
      <c r="J46" s="206">
        <v>58</v>
      </c>
      <c r="K46" s="203" t="s">
        <v>20</v>
      </c>
      <c r="L46" s="206">
        <v>5</v>
      </c>
      <c r="M46" s="276">
        <v>8</v>
      </c>
      <c r="N46" s="208">
        <v>6.3090909090909104</v>
      </c>
      <c r="O46" s="302">
        <v>6</v>
      </c>
      <c r="P46" s="366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4</v>
      </c>
      <c r="D47" s="203">
        <v>711</v>
      </c>
      <c r="E47" s="204">
        <v>46063</v>
      </c>
      <c r="F47" s="346">
        <v>8.6999999999999993</v>
      </c>
      <c r="G47" s="205">
        <v>132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6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4</v>
      </c>
      <c r="D48" s="211">
        <v>716</v>
      </c>
      <c r="E48" s="212">
        <v>46063</v>
      </c>
      <c r="F48" s="347">
        <v>8.9</v>
      </c>
      <c r="G48" s="213">
        <v>117</v>
      </c>
      <c r="H48" s="214" t="s">
        <v>18</v>
      </c>
      <c r="I48" s="213" t="s">
        <v>30</v>
      </c>
      <c r="J48" s="213">
        <v>2</v>
      </c>
      <c r="K48" s="211" t="s">
        <v>20</v>
      </c>
      <c r="L48" s="277">
        <v>6</v>
      </c>
      <c r="M48" s="278">
        <v>6</v>
      </c>
      <c r="N48" s="216">
        <v>6</v>
      </c>
      <c r="O48" s="303">
        <v>1</v>
      </c>
      <c r="P48" s="366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4</v>
      </c>
      <c r="D49" s="203">
        <v>723</v>
      </c>
      <c r="E49" s="204">
        <v>46063</v>
      </c>
      <c r="F49" s="346">
        <v>7.7</v>
      </c>
      <c r="G49" s="205">
        <v>106</v>
      </c>
      <c r="H49" s="196" t="s">
        <v>18</v>
      </c>
      <c r="I49" s="205" t="s">
        <v>30</v>
      </c>
      <c r="J49" s="206">
        <v>2</v>
      </c>
      <c r="K49" s="196" t="s">
        <v>20</v>
      </c>
      <c r="L49" s="205">
        <v>7</v>
      </c>
      <c r="M49" s="279">
        <v>7</v>
      </c>
      <c r="N49" s="219">
        <v>7</v>
      </c>
      <c r="O49" s="304">
        <v>1</v>
      </c>
      <c r="P49" s="367"/>
      <c r="Q49" s="13"/>
    </row>
    <row r="50" spans="1:17" ht="19.5" customHeight="1" thickBot="1" x14ac:dyDescent="0.3">
      <c r="A50" s="49"/>
      <c r="B50" s="221">
        <v>2026</v>
      </c>
      <c r="C50" s="222">
        <f>C3</f>
        <v>4</v>
      </c>
      <c r="D50" s="223">
        <v>809</v>
      </c>
      <c r="E50" s="224">
        <v>46062</v>
      </c>
      <c r="F50" s="348">
        <v>7.8</v>
      </c>
      <c r="G50" s="225">
        <v>113</v>
      </c>
      <c r="H50" s="223" t="s">
        <v>18</v>
      </c>
      <c r="I50" s="226" t="s">
        <v>30</v>
      </c>
      <c r="J50" s="226">
        <v>11</v>
      </c>
      <c r="K50" s="223" t="s">
        <v>20</v>
      </c>
      <c r="L50" s="226">
        <v>6</v>
      </c>
      <c r="M50" s="280">
        <v>7</v>
      </c>
      <c r="N50" s="228">
        <v>6.4545454545454497</v>
      </c>
      <c r="O50" s="305">
        <v>11</v>
      </c>
      <c r="P50" s="357" t="s">
        <v>35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4</v>
      </c>
      <c r="D51" s="232">
        <v>812</v>
      </c>
      <c r="E51" s="233">
        <v>46062</v>
      </c>
      <c r="F51" s="349">
        <v>7.2</v>
      </c>
      <c r="G51" s="234">
        <v>118</v>
      </c>
      <c r="H51" s="232" t="s">
        <v>18</v>
      </c>
      <c r="I51" s="235" t="s">
        <v>30</v>
      </c>
      <c r="J51" s="235">
        <v>9</v>
      </c>
      <c r="K51" s="232" t="s">
        <v>20</v>
      </c>
      <c r="L51" s="235">
        <v>6</v>
      </c>
      <c r="M51" s="281">
        <v>9</v>
      </c>
      <c r="N51" s="237">
        <v>7.2222222222222197</v>
      </c>
      <c r="O51" s="306">
        <v>4</v>
      </c>
      <c r="P51" s="357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4</v>
      </c>
      <c r="D52" s="241">
        <v>815</v>
      </c>
      <c r="E52" s="242">
        <v>46062</v>
      </c>
      <c r="F52" s="350">
        <v>5.6</v>
      </c>
      <c r="G52" s="243">
        <v>133</v>
      </c>
      <c r="H52" s="244" t="s">
        <v>18</v>
      </c>
      <c r="I52" s="245" t="s">
        <v>30</v>
      </c>
      <c r="J52" s="245">
        <v>3</v>
      </c>
      <c r="K52" s="241" t="s">
        <v>20</v>
      </c>
      <c r="L52" s="245">
        <v>7</v>
      </c>
      <c r="M52" s="282">
        <v>8</v>
      </c>
      <c r="N52" s="247">
        <v>7.3333333333333304</v>
      </c>
      <c r="O52" s="307">
        <v>0</v>
      </c>
      <c r="P52" s="357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4</v>
      </c>
      <c r="D53" s="241">
        <v>901</v>
      </c>
      <c r="E53" s="249">
        <v>46062</v>
      </c>
      <c r="F53" s="351">
        <v>5.4</v>
      </c>
      <c r="G53" s="243">
        <v>143</v>
      </c>
      <c r="H53" s="244" t="s">
        <v>18</v>
      </c>
      <c r="I53" s="245" t="s">
        <v>30</v>
      </c>
      <c r="J53" s="245">
        <v>3</v>
      </c>
      <c r="K53" s="241" t="s">
        <v>20</v>
      </c>
      <c r="L53" s="245">
        <v>7</v>
      </c>
      <c r="M53" s="282">
        <v>8</v>
      </c>
      <c r="N53" s="247">
        <v>7.6666666666666696</v>
      </c>
      <c r="O53" s="307">
        <v>0</v>
      </c>
      <c r="P53" s="357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4</v>
      </c>
      <c r="D54" s="241">
        <v>902</v>
      </c>
      <c r="E54" s="249">
        <v>46062</v>
      </c>
      <c r="F54" s="351">
        <v>5.6</v>
      </c>
      <c r="G54" s="243">
        <v>140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7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4</v>
      </c>
      <c r="D55" s="241">
        <v>906</v>
      </c>
      <c r="E55" s="249">
        <v>46062</v>
      </c>
      <c r="F55" s="351">
        <v>3.9</v>
      </c>
      <c r="G55" s="243">
        <v>180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7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4</v>
      </c>
      <c r="D56" s="241">
        <v>910</v>
      </c>
      <c r="E56" s="249">
        <v>46062</v>
      </c>
      <c r="F56" s="351">
        <v>4.9000000000000004</v>
      </c>
      <c r="G56" s="243">
        <v>118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7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4</v>
      </c>
      <c r="D57" s="241">
        <v>912</v>
      </c>
      <c r="E57" s="249">
        <v>46062</v>
      </c>
      <c r="F57" s="351">
        <v>5.5</v>
      </c>
      <c r="G57" s="243">
        <v>117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7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4</v>
      </c>
      <c r="D58" s="241">
        <v>914</v>
      </c>
      <c r="E58" s="249">
        <v>46062</v>
      </c>
      <c r="F58" s="351">
        <v>12.6</v>
      </c>
      <c r="G58" s="243">
        <v>200</v>
      </c>
      <c r="H58" s="244" t="s">
        <v>18</v>
      </c>
      <c r="I58" s="245" t="s">
        <v>30</v>
      </c>
      <c r="J58" s="245">
        <v>1</v>
      </c>
      <c r="K58" s="241" t="s">
        <v>20</v>
      </c>
      <c r="L58" s="245">
        <v>10</v>
      </c>
      <c r="M58" s="282">
        <v>10</v>
      </c>
      <c r="N58" s="247">
        <v>10</v>
      </c>
      <c r="O58" s="307">
        <v>0</v>
      </c>
      <c r="P58" s="357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4</v>
      </c>
      <c r="D59" s="241">
        <v>915</v>
      </c>
      <c r="E59" s="249">
        <v>46062</v>
      </c>
      <c r="F59" s="351">
        <v>3.2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7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4</v>
      </c>
      <c r="D60" s="241">
        <v>918</v>
      </c>
      <c r="E60" s="249">
        <v>46064</v>
      </c>
      <c r="F60" s="351">
        <v>2.9</v>
      </c>
      <c r="G60" s="243">
        <v>180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7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4</v>
      </c>
      <c r="D61" s="252">
        <v>919</v>
      </c>
      <c r="E61" s="253">
        <v>46062</v>
      </c>
      <c r="F61" s="352">
        <v>3.7</v>
      </c>
      <c r="G61" s="254">
        <v>200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7"/>
      <c r="Q61" s="13"/>
    </row>
    <row r="62" spans="1:17" ht="19.5" customHeight="1" x14ac:dyDescent="0.25">
      <c r="A62" s="49"/>
      <c r="B62" s="4" t="s">
        <v>24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25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26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29" ht="19.5" customHeight="1" x14ac:dyDescent="0.25">
      <c r="A65" s="49"/>
      <c r="B65" s="7" t="s">
        <v>48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29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9"/>
      <c r="U66" s="38"/>
      <c r="V66" s="38"/>
      <c r="W66" s="37"/>
      <c r="X66" s="40"/>
      <c r="Y66" s="37"/>
      <c r="Z66" s="40"/>
      <c r="AA66" s="40"/>
      <c r="AB66" s="40"/>
      <c r="AC66" s="38"/>
    </row>
    <row r="67" spans="1:29" ht="19.5" customHeight="1" x14ac:dyDescent="0.2">
      <c r="J67" s="33"/>
      <c r="L67" s="32"/>
      <c r="M67" s="33"/>
      <c r="N67" s="14"/>
      <c r="O67" s="33"/>
      <c r="P67" s="29"/>
      <c r="Q67" s="42"/>
    </row>
    <row r="68" spans="1:29" ht="19.5" customHeight="1" x14ac:dyDescent="0.2">
      <c r="G68" s="43"/>
      <c r="Q68" s="44"/>
    </row>
    <row r="69" spans="1:29" ht="19.5" customHeight="1" x14ac:dyDescent="0.2">
      <c r="H69" s="41" t="s">
        <v>42</v>
      </c>
      <c r="I69" s="14">
        <v>59</v>
      </c>
      <c r="Q69" s="45"/>
    </row>
    <row r="70" spans="1:29" ht="15" customHeight="1" x14ac:dyDescent="0.2">
      <c r="H70" s="41" t="s">
        <v>43</v>
      </c>
      <c r="I70" s="14">
        <v>31</v>
      </c>
    </row>
    <row r="71" spans="1:29" ht="15" customHeight="1" x14ac:dyDescent="0.2">
      <c r="H71" s="41" t="s">
        <v>44</v>
      </c>
      <c r="I71" s="46">
        <f>I70/I69</f>
        <v>0.52542372881355937</v>
      </c>
      <c r="J71" s="46"/>
      <c r="Q71" s="29"/>
    </row>
    <row r="72" spans="1:29" ht="15" customHeight="1" x14ac:dyDescent="0.2">
      <c r="Q72" s="29"/>
    </row>
    <row r="73" spans="1:29" ht="15" customHeight="1" x14ac:dyDescent="0.2">
      <c r="H73" s="47" t="s">
        <v>12</v>
      </c>
      <c r="I73" s="43">
        <f>SUM(J3:J15)</f>
        <v>0</v>
      </c>
      <c r="J73" s="47"/>
      <c r="M73" s="43"/>
      <c r="N73" s="43"/>
      <c r="O73" s="43"/>
      <c r="Q73" s="29"/>
    </row>
    <row r="74" spans="1:29" ht="15" customHeight="1" x14ac:dyDescent="0.2">
      <c r="H74" s="47" t="s">
        <v>13</v>
      </c>
      <c r="I74" s="43">
        <f>SUM(J16:J24)</f>
        <v>246</v>
      </c>
      <c r="J74" s="47"/>
      <c r="M74" s="43"/>
      <c r="N74" s="43"/>
      <c r="O74" s="43"/>
      <c r="Q74" s="29"/>
    </row>
    <row r="75" spans="1:29" ht="15" customHeight="1" x14ac:dyDescent="0.2">
      <c r="H75" s="47" t="s">
        <v>14</v>
      </c>
      <c r="I75" s="43">
        <f>SUM(J25:J27)</f>
        <v>0</v>
      </c>
      <c r="J75" s="47"/>
      <c r="M75" s="43"/>
      <c r="N75" s="43"/>
      <c r="O75" s="43"/>
    </row>
    <row r="76" spans="1:29" ht="15" customHeight="1" x14ac:dyDescent="0.2">
      <c r="H76" s="47" t="s">
        <v>15</v>
      </c>
      <c r="I76" s="43">
        <f>SUM(J28:J36)</f>
        <v>103</v>
      </c>
      <c r="J76" s="47"/>
      <c r="M76" s="43"/>
      <c r="N76" s="43"/>
      <c r="O76" s="43"/>
    </row>
    <row r="77" spans="1:29" ht="15" customHeight="1" x14ac:dyDescent="0.2">
      <c r="H77" s="47" t="s">
        <v>16</v>
      </c>
      <c r="I77" s="43">
        <f>SUM(J37:J41)</f>
        <v>16</v>
      </c>
      <c r="J77" s="47"/>
      <c r="M77" s="43"/>
      <c r="N77" s="43"/>
      <c r="O77" s="43"/>
    </row>
    <row r="78" spans="1:29" x14ac:dyDescent="0.2">
      <c r="H78" s="47" t="s">
        <v>17</v>
      </c>
      <c r="I78" s="43">
        <f>SUM(J42:J49)</f>
        <v>104</v>
      </c>
      <c r="J78" s="47"/>
      <c r="M78" s="43"/>
      <c r="N78" s="43"/>
      <c r="O78" s="43"/>
    </row>
    <row r="79" spans="1:29" x14ac:dyDescent="0.2">
      <c r="H79" s="47" t="s">
        <v>45</v>
      </c>
      <c r="I79" s="43">
        <f>SUM(J50:J51)</f>
        <v>20</v>
      </c>
      <c r="J79" s="47"/>
      <c r="M79" s="43"/>
      <c r="N79" s="43"/>
      <c r="O79" s="43"/>
    </row>
    <row r="80" spans="1:29" x14ac:dyDescent="0.2">
      <c r="H80" s="47" t="s">
        <v>46</v>
      </c>
      <c r="I80" s="43">
        <f>SUM(J52:J61)</f>
        <v>7</v>
      </c>
      <c r="J80" s="47"/>
      <c r="M80" s="43"/>
      <c r="N80" s="43"/>
      <c r="O80" s="43"/>
    </row>
    <row r="81" spans="9:15" x14ac:dyDescent="0.2">
      <c r="I81" s="43">
        <f>SUM(I73:I80)</f>
        <v>496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1CA65D41-F4F5-4C0D-858B-62D256F268B1}">
      <formula1>"No Smelt Catch, Longfin Smelt, Delta Smelt"</formula1>
    </dataValidation>
    <dataValidation type="list" allowBlank="1" showInputMessage="1" showErrorMessage="1" sqref="K3:K61" xr:uid="{E0F1891C-808D-4084-8C02-18F14F1F4510}">
      <formula1>"Completed, Preliminary "</formula1>
    </dataValidation>
    <dataValidation type="list" allowBlank="1" showInputMessage="1" showErrorMessage="1" sqref="H3:H61" xr:uid="{2D65C27B-A73D-45B1-92F1-B7BBFC4D5217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7175-32CA-450D-8E6D-9C83DAF7F483}">
  <dimension ref="A1:N2"/>
  <sheetViews>
    <sheetView workbookViewId="0">
      <selection sqref="A1:K1"/>
    </sheetView>
  </sheetViews>
  <sheetFormatPr defaultRowHeight="15" x14ac:dyDescent="0.25"/>
  <sheetData>
    <row r="1" spans="1:14" ht="25.5" x14ac:dyDescent="0.35">
      <c r="A1" s="368" t="s">
        <v>47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</row>
    <row r="2" spans="1:14" x14ac:dyDescent="0.25">
      <c r="N2" s="356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Survey 12</vt:lpstr>
      <vt:lpstr>Survey 13 </vt:lpstr>
      <vt:lpstr>Survey 1</vt:lpstr>
      <vt:lpstr>Survey 2</vt:lpstr>
      <vt:lpstr>Survey 3</vt:lpstr>
      <vt:lpstr>Survey 4 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Mora, Vanessa@Wildlife</cp:lastModifiedBy>
  <cp:lastPrinted>2025-02-25T19:01:29Z</cp:lastPrinted>
  <dcterms:created xsi:type="dcterms:W3CDTF">2022-01-20T21:02:50Z</dcterms:created>
  <dcterms:modified xsi:type="dcterms:W3CDTF">2026-02-24T01:09:09Z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