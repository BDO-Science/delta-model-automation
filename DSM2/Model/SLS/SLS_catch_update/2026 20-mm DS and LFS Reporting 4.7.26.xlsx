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41188B3B-9353-439C-ADD7-83A110BA25DA}" xr6:coauthVersionLast="47" xr6:coauthVersionMax="47" xr10:uidLastSave="{00000000-0000-0000-0000-000000000000}"/>
  <bookViews>
    <workbookView xWindow="-120" yWindow="-120" windowWidth="29040" windowHeight="15720" tabRatio="844" activeTab="2" xr2:uid="{FADF9BD8-084D-4A05-925F-CF581A2A38ED}"/>
  </bookViews>
  <sheets>
    <sheet name="Survey 1" sheetId="52" r:id="rId1"/>
    <sheet name="Survey 2" sheetId="73" r:id="rId2"/>
    <sheet name="20-mm Map" sheetId="72" r:id="rId3"/>
  </sheets>
  <externalReferences>
    <externalReference r:id="rId4"/>
  </externalReference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73" l="1"/>
  <c r="J81" i="73"/>
  <c r="J80" i="73"/>
  <c r="J79" i="73"/>
  <c r="J78" i="73"/>
  <c r="J77" i="73"/>
  <c r="J76" i="73"/>
  <c r="J75" i="73"/>
  <c r="J73" i="73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5" i="73" s="1"/>
  <c r="C20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J79" i="52"/>
  <c r="C19" i="73" l="1"/>
  <c r="C6" i="73"/>
  <c r="J83" i="73"/>
  <c r="C5" i="52"/>
  <c r="J73" i="52"/>
  <c r="J75" i="52"/>
  <c r="J76" i="52"/>
  <c r="J77" i="52"/>
  <c r="J78" i="52"/>
  <c r="J80" i="52"/>
  <c r="J81" i="52"/>
  <c r="J82" i="52"/>
  <c r="C21" i="73" l="1"/>
  <c r="C7" i="73"/>
  <c r="C8" i="73" s="1"/>
  <c r="C9" i="73" s="1"/>
  <c r="C10" i="73" s="1"/>
  <c r="C11" i="73" s="1"/>
  <c r="C12" i="73" s="1"/>
  <c r="C13" i="73" s="1"/>
  <c r="C14" i="73" s="1"/>
  <c r="C15" i="73" s="1"/>
  <c r="C6" i="52"/>
  <c r="C20" i="52"/>
  <c r="J83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</calcChain>
</file>

<file path=xl/sharedStrings.xml><?xml version="1.0" encoding="utf-8"?>
<sst xmlns="http://schemas.openxmlformats.org/spreadsheetml/2006/main" count="127" uniqueCount="41">
  <si>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</si>
  <si>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</si>
  <si>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</si>
  <si>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</si>
  <si>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</si>
  <si>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</si>
  <si>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</si>
  <si>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</si>
  <si>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</si>
  <si>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</si>
  <si>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</si>
  <si>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</si>
  <si>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</si>
  <si>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</si>
  <si>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</si>
  <si>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</si>
  <si>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</si>
  <si>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</si>
  <si>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</si>
  <si>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</si>
  <si>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</si>
  <si>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</si>
  <si>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</si>
  <si>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</si>
  <si>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</si>
  <si>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</si>
  <si>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</si>
  <si>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</si>
  <si>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</si>
  <si>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</si>
  <si>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</si>
  <si>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</si>
  <si>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</si>
  <si>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</si>
  <si>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</si>
  <si>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</si>
  <si>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</si>
  <si>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</si>
  <si>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</si>
  <si>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Processing is complete through 4/7/26</t>
  </si>
  <si>
    <t xml:space="preserve">Processing is complete through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</si>
</sst>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0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7" fillId="10" borderId="0" xfId="0" applyFont="1" applyFill="1"/>
    <xf numFmtId="0" fontId="7" fillId="10" borderId="0" xfId="0" applyFont="1" applyFill="1" applyAlignment="1">
      <alignment horizontal="center" vertical="center"/>
    </xf>
    <xf numFmtId="167" fontId="7" fillId="21" borderId="16" xfId="0" applyNumberFormat="1" applyFont="1" applyFill="1" applyBorder="1" applyAlignment="1">
      <alignment horizontal="center" wrapText="1"/>
    </xf>
    <xf numFmtId="1" fontId="7" fillId="21" borderId="16" xfId="0" applyNumberFormat="1" applyFont="1" applyFill="1" applyBorder="1" applyAlignment="1">
      <alignment horizontal="center" wrapText="1"/>
    </xf>
    <xf numFmtId="0" fontId="7" fillId="21" borderId="16" xfId="0" applyFont="1" applyFill="1" applyBorder="1" applyAlignment="1">
      <alignment horizontal="center" wrapText="1"/>
    </xf>
    <xf numFmtId="0" fontId="7" fillId="22" borderId="16" xfId="0" applyFont="1" applyFill="1" applyBorder="1" applyAlignment="1">
      <alignment horizontal="center"/>
    </xf>
    <xf numFmtId="1" fontId="7" fillId="22" borderId="16" xfId="0" applyNumberFormat="1" applyFont="1" applyFill="1" applyBorder="1" applyAlignment="1">
      <alignment horizontal="center"/>
    </xf>
    <xf numFmtId="0" fontId="7" fillId="22" borderId="31" xfId="0" applyFont="1" applyFill="1" applyBorder="1" applyAlignment="1">
      <alignment horizontal="center"/>
    </xf>
    <xf numFmtId="0" fontId="7" fillId="22" borderId="17" xfId="0" applyFont="1" applyFill="1" applyBorder="1" applyAlignment="1">
      <alignment horizontal="center"/>
    </xf>
    <xf numFmtId="166" fontId="7" fillId="22" borderId="24" xfId="0" applyNumberFormat="1" applyFont="1" applyFill="1" applyBorder="1" applyAlignment="1">
      <alignment horizontal="center"/>
    </xf>
    <xf numFmtId="167" fontId="7" fillId="21" borderId="5" xfId="0" applyNumberFormat="1" applyFont="1" applyFill="1" applyBorder="1" applyAlignment="1">
      <alignment horizontal="center" wrapText="1"/>
    </xf>
    <xf numFmtId="1" fontId="7" fillId="21" borderId="5" xfId="0" applyNumberFormat="1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center" wrapText="1"/>
    </xf>
    <xf numFmtId="0" fontId="7" fillId="22" borderId="5" xfId="0" applyFont="1" applyFill="1" applyBorder="1" applyAlignment="1">
      <alignment horizontal="center"/>
    </xf>
    <xf numFmtId="1" fontId="7" fillId="22" borderId="5" xfId="0" applyNumberFormat="1" applyFont="1" applyFill="1" applyBorder="1" applyAlignment="1">
      <alignment horizontal="center"/>
    </xf>
    <xf numFmtId="0" fontId="7" fillId="22" borderId="29" xfId="0" applyFont="1" applyFill="1" applyBorder="1" applyAlignment="1">
      <alignment horizontal="center"/>
    </xf>
    <xf numFmtId="0" fontId="7" fillId="22" borderId="6" xfId="0" applyFont="1" applyFill="1" applyBorder="1" applyAlignment="1">
      <alignment horizontal="center"/>
    </xf>
    <xf numFmtId="166" fontId="7" fillId="22" borderId="21" xfId="0" applyNumberFormat="1" applyFont="1" applyFill="1" applyBorder="1" applyAlignment="1">
      <alignment horizontal="center"/>
    </xf>
    <xf numFmtId="167" fontId="7" fillId="16" borderId="5" xfId="0" applyNumberFormat="1" applyFont="1" applyFill="1" applyBorder="1" applyAlignment="1">
      <alignment horizontal="center" wrapText="1"/>
    </xf>
    <xf numFmtId="1" fontId="7" fillId="16" borderId="7" xfId="0" applyNumberFormat="1" applyFont="1" applyFill="1" applyBorder="1" applyAlignment="1">
      <alignment horizontal="center" wrapText="1"/>
    </xf>
    <xf numFmtId="0" fontId="7" fillId="16" borderId="7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6" fontId="7" fillId="9" borderId="22" xfId="0" applyNumberFormat="1" applyFont="1" applyFill="1" applyBorder="1" applyAlignment="1">
      <alignment horizontal="center"/>
    </xf>
    <xf numFmtId="167" fontId="7" fillId="16" borderId="7" xfId="0" applyNumberFormat="1" applyFont="1" applyFill="1" applyBorder="1" applyAlignment="1">
      <alignment horizontal="center" wrapText="1"/>
    </xf>
    <xf numFmtId="167" fontId="7" fillId="16" borderId="18" xfId="0" applyNumberFormat="1" applyFont="1" applyFill="1" applyBorder="1" applyAlignment="1">
      <alignment horizontal="center" wrapText="1"/>
    </xf>
    <xf numFmtId="1" fontId="7" fillId="16" borderId="18" xfId="0" applyNumberFormat="1" applyFont="1" applyFill="1" applyBorder="1" applyAlignment="1">
      <alignment horizontal="center" wrapText="1"/>
    </xf>
    <xf numFmtId="0" fontId="7" fillId="16" borderId="18" xfId="0" applyFont="1" applyFill="1" applyBorder="1" applyAlignment="1">
      <alignment horizontal="center" wrapText="1"/>
    </xf>
    <xf numFmtId="1" fontId="7" fillId="9" borderId="18" xfId="0" applyNumberFormat="1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166" fontId="7" fillId="9" borderId="25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167" fontId="7" fillId="12" borderId="16" xfId="0" applyNumberFormat="1" applyFont="1" applyFill="1" applyBorder="1" applyAlignment="1">
      <alignment horizontal="center"/>
    </xf>
    <xf numFmtId="1" fontId="7" fillId="12" borderId="16" xfId="0" applyNumberFormat="1" applyFont="1" applyFill="1" applyBorder="1" applyAlignment="1">
      <alignment horizontal="center"/>
    </xf>
    <xf numFmtId="1" fontId="7" fillId="12" borderId="37" xfId="0" applyNumberFormat="1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7" fillId="20" borderId="7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8" xfId="0" applyNumberFormat="1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39" xfId="0" applyFont="1" applyFill="1" applyBorder="1" applyAlignment="1">
      <alignment horizontal="center"/>
    </xf>
    <xf numFmtId="0" fontId="7" fillId="12" borderId="41" xfId="0" applyFont="1" applyFill="1" applyBorder="1" applyAlignment="1">
      <alignment horizontal="center"/>
    </xf>
    <xf numFmtId="167" fontId="7" fillId="12" borderId="41" xfId="0" applyNumberFormat="1" applyFont="1" applyFill="1" applyBorder="1" applyAlignment="1">
      <alignment horizontal="center"/>
    </xf>
    <xf numFmtId="1" fontId="7" fillId="12" borderId="41" xfId="0" applyNumberFormat="1" applyFont="1" applyFill="1" applyBorder="1" applyAlignment="1">
      <alignment horizontal="center"/>
    </xf>
    <xf numFmtId="1" fontId="7" fillId="12" borderId="42" xfId="0" applyNumberFormat="1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7" fillId="19" borderId="16" xfId="0" applyFont="1" applyFill="1" applyBorder="1" applyAlignment="1">
      <alignment horizontal="center"/>
    </xf>
    <xf numFmtId="167" fontId="7" fillId="19" borderId="16" xfId="0" applyNumberFormat="1" applyFont="1" applyFill="1" applyBorder="1" applyAlignment="1">
      <alignment horizontal="center" wrapText="1"/>
    </xf>
    <xf numFmtId="1" fontId="7" fillId="19" borderId="16" xfId="0" applyNumberFormat="1" applyFont="1" applyFill="1" applyBorder="1" applyAlignment="1">
      <alignment horizontal="center" wrapText="1"/>
    </xf>
    <xf numFmtId="1" fontId="7" fillId="13" borderId="16" xfId="0" applyNumberFormat="1" applyFont="1" applyFill="1" applyBorder="1" applyAlignment="1">
      <alignment horizontal="center"/>
    </xf>
    <xf numFmtId="0" fontId="7" fillId="13" borderId="31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166" fontId="7" fillId="13" borderId="24" xfId="0" applyNumberFormat="1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167" fontId="7" fillId="19" borderId="7" xfId="0" applyNumberFormat="1" applyFont="1" applyFill="1" applyBorder="1" applyAlignment="1">
      <alignment horizontal="center" wrapText="1"/>
    </xf>
    <xf numFmtId="1" fontId="7" fillId="19" borderId="7" xfId="0" applyNumberFormat="1" applyFont="1" applyFill="1" applyBorder="1" applyAlignment="1">
      <alignment horizontal="center" wrapText="1"/>
    </xf>
    <xf numFmtId="1" fontId="7" fillId="13" borderId="7" xfId="0" applyNumberFormat="1" applyFont="1" applyFill="1" applyBorder="1" applyAlignment="1">
      <alignment horizontal="center"/>
    </xf>
    <xf numFmtId="0" fontId="7" fillId="13" borderId="28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166" fontId="7" fillId="13" borderId="22" xfId="0" applyNumberFormat="1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0" fontId="7" fillId="19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167" fontId="7" fillId="19" borderId="18" xfId="0" applyNumberFormat="1" applyFont="1" applyFill="1" applyBorder="1" applyAlignment="1">
      <alignment horizontal="center" wrapText="1"/>
    </xf>
    <xf numFmtId="1" fontId="7" fillId="19" borderId="18" xfId="0" applyNumberFormat="1" applyFont="1" applyFill="1" applyBorder="1" applyAlignment="1">
      <alignment horizontal="center" wrapText="1"/>
    </xf>
    <xf numFmtId="1" fontId="7" fillId="13" borderId="18" xfId="0" applyNumberFormat="1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166" fontId="7" fillId="13" borderId="25" xfId="0" applyNumberFormat="1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7" fillId="18" borderId="16" xfId="0" applyFont="1" applyFill="1" applyBorder="1" applyAlignment="1">
      <alignment horizontal="center"/>
    </xf>
    <xf numFmtId="167" fontId="7" fillId="18" borderId="5" xfId="0" applyNumberFormat="1" applyFont="1" applyFill="1" applyBorder="1" applyAlignment="1">
      <alignment horizontal="center" wrapText="1"/>
    </xf>
    <xf numFmtId="1" fontId="7" fillId="18" borderId="5" xfId="0" applyNumberFormat="1" applyFont="1" applyFill="1" applyBorder="1" applyAlignment="1">
      <alignment horizontal="center" wrapText="1"/>
    </xf>
    <xf numFmtId="1" fontId="7" fillId="15" borderId="5" xfId="0" applyNumberFormat="1" applyFont="1" applyFill="1" applyBorder="1" applyAlignment="1">
      <alignment horizontal="center"/>
    </xf>
    <xf numFmtId="0" fontId="7" fillId="15" borderId="29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166" fontId="7" fillId="15" borderId="21" xfId="0" applyNumberFormat="1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7" fillId="15" borderId="7" xfId="0" applyFont="1" applyFill="1" applyBorder="1" applyAlignment="1">
      <alignment horizontal="center"/>
    </xf>
    <xf numFmtId="167" fontId="7" fillId="18" borderId="7" xfId="0" applyNumberFormat="1" applyFont="1" applyFill="1" applyBorder="1" applyAlignment="1">
      <alignment horizontal="center" wrapText="1"/>
    </xf>
    <xf numFmtId="1" fontId="7" fillId="15" borderId="7" xfId="0" applyNumberFormat="1" applyFont="1" applyFill="1" applyBorder="1" applyAlignment="1">
      <alignment horizontal="center"/>
    </xf>
    <xf numFmtId="0" fontId="7" fillId="15" borderId="2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166" fontId="7" fillId="15" borderId="22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167" fontId="7" fillId="15" borderId="18" xfId="0" applyNumberFormat="1" applyFont="1" applyFill="1" applyBorder="1" applyAlignment="1">
      <alignment horizontal="center"/>
    </xf>
    <xf numFmtId="1" fontId="7" fillId="15" borderId="18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 wrapText="1"/>
    </xf>
    <xf numFmtId="0" fontId="7" fillId="15" borderId="32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166" fontId="7" fillId="15" borderId="25" xfId="0" applyNumberFormat="1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6" fontId="7" fillId="2" borderId="21" xfId="0" applyNumberFormat="1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6" fontId="7" fillId="2" borderId="22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 wrapText="1"/>
    </xf>
    <xf numFmtId="1" fontId="7" fillId="8" borderId="7" xfId="0" applyNumberFormat="1" applyFont="1" applyFill="1" applyBorder="1" applyAlignment="1">
      <alignment horizontal="center" wrapText="1"/>
    </xf>
    <xf numFmtId="0" fontId="7" fillId="17" borderId="14" xfId="0" applyFont="1" applyFill="1" applyBorder="1" applyAlignment="1">
      <alignment horizontal="center"/>
    </xf>
    <xf numFmtId="0" fontId="7" fillId="17" borderId="1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7" fontId="7" fillId="8" borderId="14" xfId="0" applyNumberFormat="1" applyFont="1" applyFill="1" applyBorder="1" applyAlignment="1">
      <alignment horizontal="center" wrapText="1"/>
    </xf>
    <xf numFmtId="1" fontId="7" fillId="8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center" wrapText="1"/>
    </xf>
    <xf numFmtId="1" fontId="7" fillId="2" borderId="14" xfId="0" applyNumberFormat="1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66" fontId="7" fillId="2" borderId="23" xfId="0" applyNumberFormat="1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7" fontId="7" fillId="7" borderId="16" xfId="0" applyNumberFormat="1" applyFont="1" applyFill="1" applyBorder="1" applyAlignment="1">
      <alignment horizontal="center" wrapText="1"/>
    </xf>
    <xf numFmtId="1" fontId="7" fillId="7" borderId="16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center" wrapText="1"/>
    </xf>
    <xf numFmtId="1" fontId="7" fillId="3" borderId="16" xfId="0" applyNumberFormat="1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166" fontId="7" fillId="3" borderId="24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67" fontId="7" fillId="7" borderId="7" xfId="0" applyNumberFormat="1" applyFont="1" applyFill="1" applyBorder="1" applyAlignment="1">
      <alignment horizontal="center" wrapText="1"/>
    </xf>
    <xf numFmtId="1" fontId="7" fillId="7" borderId="7" xfId="0" applyNumberFormat="1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1" fontId="7" fillId="3" borderId="7" xfId="0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6" fontId="7" fillId="3" borderId="22" xfId="0" applyNumberFormat="1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7" fontId="7" fillId="7" borderId="18" xfId="0" applyNumberFormat="1" applyFont="1" applyFill="1" applyBorder="1" applyAlignment="1">
      <alignment horizontal="center" wrapText="1"/>
    </xf>
    <xf numFmtId="1" fontId="7" fillId="7" borderId="18" xfId="0" applyNumberFormat="1" applyFont="1" applyFill="1" applyBorder="1" applyAlignment="1">
      <alignment horizontal="center" wrapText="1"/>
    </xf>
    <xf numFmtId="0" fontId="7" fillId="7" borderId="18" xfId="0" applyFont="1" applyFill="1" applyBorder="1" applyAlignment="1">
      <alignment horizontal="center" wrapText="1"/>
    </xf>
    <xf numFmtId="1" fontId="7" fillId="3" borderId="18" xfId="0" applyNumberFormat="1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166" fontId="7" fillId="3" borderId="25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7" fontId="7" fillId="6" borderId="5" xfId="0" applyNumberFormat="1" applyFont="1" applyFill="1" applyBorder="1" applyAlignment="1">
      <alignment horizontal="center" wrapText="1"/>
    </xf>
    <xf numFmtId="1" fontId="7" fillId="6" borderId="5" xfId="0" applyNumberFormat="1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wrapText="1"/>
    </xf>
    <xf numFmtId="1" fontId="7" fillId="4" borderId="5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6" fontId="7" fillId="4" borderId="21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7" fontId="7" fillId="6" borderId="7" xfId="0" applyNumberFormat="1" applyFont="1" applyFill="1" applyBorder="1" applyAlignment="1">
      <alignment horizontal="center" wrapText="1"/>
    </xf>
    <xf numFmtId="1" fontId="7" fillId="6" borderId="7" xfId="0" applyNumberFormat="1" applyFont="1" applyFill="1" applyBorder="1" applyAlignment="1">
      <alignment horizontal="center" wrapText="1"/>
    </xf>
    <xf numFmtId="1" fontId="7" fillId="4" borderId="7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167" fontId="7" fillId="14" borderId="7" xfId="0" applyNumberFormat="1" applyFont="1" applyFill="1" applyBorder="1" applyAlignment="1">
      <alignment horizontal="center" wrapText="1"/>
    </xf>
    <xf numFmtId="1" fontId="7" fillId="14" borderId="7" xfId="0" applyNumberFormat="1" applyFont="1" applyFill="1" applyBorder="1" applyAlignment="1">
      <alignment horizontal="center" wrapText="1"/>
    </xf>
    <xf numFmtId="0" fontId="7" fillId="14" borderId="7" xfId="0" applyFont="1" applyFill="1" applyBorder="1" applyAlignment="1">
      <alignment horizontal="center" wrapText="1"/>
    </xf>
    <xf numFmtId="164" fontId="7" fillId="14" borderId="7" xfId="0" applyNumberFormat="1" applyFont="1" applyFill="1" applyBorder="1" applyAlignment="1">
      <alignment horizontal="center" wrapText="1"/>
    </xf>
    <xf numFmtId="0" fontId="7" fillId="11" borderId="2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6" fontId="7" fillId="11" borderId="22" xfId="0" applyNumberFormat="1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166" fontId="7" fillId="6" borderId="22" xfId="0" applyNumberFormat="1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/>
    </xf>
    <xf numFmtId="167" fontId="7" fillId="6" borderId="14" xfId="0" applyNumberFormat="1" applyFont="1" applyFill="1" applyBorder="1" applyAlignment="1">
      <alignment horizontal="center" wrapText="1"/>
    </xf>
    <xf numFmtId="1" fontId="7" fillId="6" borderId="14" xfId="0" applyNumberFormat="1" applyFont="1" applyFill="1" applyBorder="1" applyAlignment="1">
      <alignment horizontal="center" wrapText="1"/>
    </xf>
    <xf numFmtId="0" fontId="7" fillId="6" borderId="14" xfId="0" applyFont="1" applyFill="1" applyBorder="1" applyAlignment="1">
      <alignment horizontal="center" wrapText="1"/>
    </xf>
    <xf numFmtId="1" fontId="7" fillId="4" borderId="14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166" fontId="7" fillId="4" borderId="23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10" borderId="20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" xfId="0" applyFont="1" applyFill="1" applyBorder="1"/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6" fillId="5" borderId="36" xfId="0" applyNumberFormat="1" applyFont="1" applyFill="1" applyBorder="1" applyAlignment="1">
      <alignment horizontal="center" vertical="center" wrapText="1"/>
    </xf>
    <xf numFmtId="166" fontId="7" fillId="12" borderId="21" xfId="0" applyNumberFormat="1" applyFont="1" applyFill="1" applyBorder="1" applyAlignment="1">
      <alignment horizontal="center"/>
    </xf>
    <xf numFmtId="166" fontId="7" fillId="12" borderId="45" xfId="0" applyNumberFormat="1" applyFont="1" applyFill="1" applyBorder="1" applyAlignment="1">
      <alignment horizontal="center"/>
    </xf>
    <xf numFmtId="166" fontId="7" fillId="10" borderId="20" xfId="0" applyNumberFormat="1" applyFont="1" applyFill="1" applyBorder="1" applyAlignment="1">
      <alignment horizontal="center"/>
    </xf>
    <xf numFmtId="166" fontId="7" fillId="10" borderId="0" xfId="0" applyNumberFormat="1" applyFont="1" applyFill="1" applyAlignment="1">
      <alignment horizontal="center"/>
    </xf>
    <xf numFmtId="166" fontId="7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8" fillId="12" borderId="5" xfId="0" applyFont="1" applyFill="1" applyBorder="1" applyAlignment="1">
      <alignment horizontal="center"/>
    </xf>
    <xf numFmtId="167" fontId="8" fillId="12" borderId="5" xfId="0" applyNumberFormat="1" applyFont="1" applyFill="1" applyBorder="1" applyAlignment="1">
      <alignment horizontal="center"/>
    </xf>
    <xf numFmtId="1" fontId="8" fillId="12" borderId="5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1" fontId="8" fillId="12" borderId="38" xfId="0" applyNumberFormat="1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8" fillId="12" borderId="39" xfId="0" applyFont="1" applyFill="1" applyBorder="1" applyAlignment="1">
      <alignment horizontal="center"/>
    </xf>
    <xf numFmtId="166" fontId="8" fillId="12" borderId="21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16" borderId="7" xfId="0" applyFont="1" applyFill="1" applyBorder="1" applyAlignment="1">
      <alignment horizontal="center"/>
    </xf>
    <xf numFmtId="0" fontId="7" fillId="21" borderId="7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1" borderId="16" xfId="0" applyFont="1" applyFill="1" applyBorder="1" applyAlignment="1">
      <alignment horizontal="center"/>
    </xf>
    <xf numFmtId="0" fontId="7" fillId="16" borderId="18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7" fillId="24" borderId="16" xfId="0" applyFont="1" applyFill="1" applyBorder="1" applyAlignment="1">
      <alignment horizontal="center"/>
    </xf>
    <xf numFmtId="0" fontId="7" fillId="24" borderId="7" xfId="0" applyFont="1" applyFill="1" applyBorder="1" applyAlignment="1">
      <alignment horizontal="center"/>
    </xf>
    <xf numFmtId="0" fontId="7" fillId="24" borderId="18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horizontal="center"/>
    </xf>
    <xf numFmtId="167" fontId="7" fillId="25" borderId="7" xfId="0" applyNumberFormat="1" applyFont="1" applyFill="1" applyBorder="1" applyAlignment="1">
      <alignment horizontal="center" wrapText="1"/>
    </xf>
    <xf numFmtId="1" fontId="7" fillId="25" borderId="7" xfId="0" applyNumberFormat="1" applyFont="1" applyFill="1" applyBorder="1" applyAlignment="1">
      <alignment horizontal="center" wrapText="1"/>
    </xf>
    <xf numFmtId="0" fontId="7" fillId="26" borderId="5" xfId="0" applyFont="1" applyFill="1" applyBorder="1" applyAlignment="1">
      <alignment horizontal="center"/>
    </xf>
    <xf numFmtId="1" fontId="7" fillId="26" borderId="7" xfId="0" applyNumberFormat="1" applyFont="1" applyFill="1" applyBorder="1" applyAlignment="1">
      <alignment horizontal="center"/>
    </xf>
    <xf numFmtId="0" fontId="7" fillId="26" borderId="28" xfId="0" applyFont="1" applyFill="1" applyBorder="1" applyAlignment="1">
      <alignment horizontal="center"/>
    </xf>
    <xf numFmtId="0" fontId="7" fillId="26" borderId="8" xfId="0" applyFont="1" applyFill="1" applyBorder="1" applyAlignment="1">
      <alignment horizontal="center"/>
    </xf>
    <xf numFmtId="166" fontId="7" fillId="26" borderId="22" xfId="0" applyNumberFormat="1" applyFont="1" applyFill="1" applyBorder="1" applyAlignment="1">
      <alignment horizontal="center"/>
    </xf>
    <xf numFmtId="166" fontId="6" fillId="5" borderId="33" xfId="0" applyNumberFormat="1" applyFont="1" applyFill="1" applyBorder="1" applyAlignment="1">
      <alignment horizontal="center" vertical="center" wrapText="1"/>
    </xf>
    <xf numFmtId="166" fontId="7" fillId="12" borderId="16" xfId="0" applyNumberFormat="1" applyFont="1" applyFill="1" applyBorder="1" applyAlignment="1">
      <alignment horizontal="center"/>
    </xf>
    <xf numFmtId="166" fontId="8" fillId="12" borderId="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7" fillId="12" borderId="41" xfId="0" applyNumberFormat="1" applyFont="1" applyFill="1" applyBorder="1" applyAlignment="1">
      <alignment horizontal="center"/>
    </xf>
    <xf numFmtId="166" fontId="7" fillId="19" borderId="16" xfId="0" applyNumberFormat="1" applyFont="1" applyFill="1" applyBorder="1" applyAlignment="1">
      <alignment horizontal="center" wrapText="1"/>
    </xf>
    <xf numFmtId="166" fontId="7" fillId="19" borderId="7" xfId="0" applyNumberFormat="1" applyFont="1" applyFill="1" applyBorder="1" applyAlignment="1">
      <alignment horizontal="center" wrapText="1"/>
    </xf>
    <xf numFmtId="166" fontId="7" fillId="19" borderId="18" xfId="0" applyNumberFormat="1" applyFont="1" applyFill="1" applyBorder="1" applyAlignment="1">
      <alignment horizontal="center" wrapText="1"/>
    </xf>
    <xf numFmtId="166" fontId="7" fillId="18" borderId="5" xfId="0" applyNumberFormat="1" applyFont="1" applyFill="1" applyBorder="1" applyAlignment="1">
      <alignment horizontal="center" wrapText="1"/>
    </xf>
    <xf numFmtId="166" fontId="7" fillId="15" borderId="18" xfId="0" applyNumberFormat="1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166" fontId="7" fillId="8" borderId="7" xfId="0" applyNumberFormat="1" applyFont="1" applyFill="1" applyBorder="1" applyAlignment="1">
      <alignment horizontal="center" wrapText="1"/>
    </xf>
    <xf numFmtId="166" fontId="7" fillId="8" borderId="14" xfId="0" applyNumberFormat="1" applyFont="1" applyFill="1" applyBorder="1" applyAlignment="1">
      <alignment horizontal="center" wrapText="1"/>
    </xf>
    <xf numFmtId="166" fontId="7" fillId="7" borderId="16" xfId="0" applyNumberFormat="1" applyFont="1" applyFill="1" applyBorder="1" applyAlignment="1">
      <alignment horizontal="center" wrapText="1"/>
    </xf>
    <xf numFmtId="166" fontId="7" fillId="7" borderId="7" xfId="0" applyNumberFormat="1" applyFont="1" applyFill="1" applyBorder="1" applyAlignment="1">
      <alignment horizontal="center" wrapText="1"/>
    </xf>
    <xf numFmtId="166" fontId="7" fillId="7" borderId="18" xfId="0" applyNumberFormat="1" applyFont="1" applyFill="1" applyBorder="1" applyAlignment="1">
      <alignment horizontal="center" wrapText="1"/>
    </xf>
    <xf numFmtId="166" fontId="7" fillId="6" borderId="5" xfId="0" applyNumberFormat="1" applyFont="1" applyFill="1" applyBorder="1" applyAlignment="1">
      <alignment horizontal="center" wrapText="1"/>
    </xf>
    <xf numFmtId="166" fontId="7" fillId="6" borderId="7" xfId="0" applyNumberFormat="1" applyFont="1" applyFill="1" applyBorder="1" applyAlignment="1">
      <alignment horizontal="center" wrapText="1"/>
    </xf>
    <xf numFmtId="166" fontId="7" fillId="14" borderId="7" xfId="0" applyNumberFormat="1" applyFont="1" applyFill="1" applyBorder="1" applyAlignment="1">
      <alignment horizontal="center" wrapText="1"/>
    </xf>
    <xf numFmtId="166" fontId="7" fillId="6" borderId="14" xfId="0" applyNumberFormat="1" applyFont="1" applyFill="1" applyBorder="1" applyAlignment="1">
      <alignment horizontal="center" wrapText="1"/>
    </xf>
    <xf numFmtId="166" fontId="7" fillId="21" borderId="16" xfId="0" applyNumberFormat="1" applyFont="1" applyFill="1" applyBorder="1" applyAlignment="1">
      <alignment horizontal="center" wrapText="1"/>
    </xf>
    <xf numFmtId="166" fontId="7" fillId="21" borderId="5" xfId="0" applyNumberFormat="1" applyFont="1" applyFill="1" applyBorder="1" applyAlignment="1">
      <alignment horizontal="center" wrapText="1"/>
    </xf>
    <xf numFmtId="166" fontId="7" fillId="16" borderId="5" xfId="0" applyNumberFormat="1" applyFont="1" applyFill="1" applyBorder="1" applyAlignment="1">
      <alignment horizontal="center" wrapText="1"/>
    </xf>
    <xf numFmtId="166" fontId="7" fillId="16" borderId="7" xfId="0" applyNumberFormat="1" applyFont="1" applyFill="1" applyBorder="1" applyAlignment="1">
      <alignment horizontal="center" wrapText="1"/>
    </xf>
    <xf numFmtId="166" fontId="7" fillId="25" borderId="7" xfId="0" applyNumberFormat="1" applyFont="1" applyFill="1" applyBorder="1" applyAlignment="1">
      <alignment horizontal="center" wrapText="1"/>
    </xf>
    <xf numFmtId="166" fontId="7" fillId="16" borderId="18" xfId="0" applyNumberFormat="1" applyFont="1" applyFill="1" applyBorder="1" applyAlignment="1">
      <alignment horizontal="center" wrapText="1"/>
    </xf>
    <xf numFmtId="166" fontId="7" fillId="10" borderId="0" xfId="0" applyNumberFormat="1" applyFont="1" applyFill="1" applyAlignment="1">
      <alignment horizontal="center" vertical="center"/>
    </xf>
    <xf numFmtId="0" fontId="1" fillId="0" borderId="0" xfId="1"/>
    <xf numFmtId="0" fontId="7" fillId="12" borderId="33" xfId="0" applyFont="1" applyFill="1" applyBorder="1" applyAlignment="1">
      <alignment horizontal="center" vertical="center" textRotation="90"/>
    </xf>
    <xf numFmtId="0" fontId="7" fillId="13" borderId="33" xfId="0" applyFont="1" applyFill="1" applyBorder="1" applyAlignment="1">
      <alignment horizontal="center" vertical="center" textRotation="90"/>
    </xf>
    <xf numFmtId="0" fontId="7" fillId="3" borderId="33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7" fillId="2" borderId="33" xfId="0" applyFont="1" applyFill="1" applyBorder="1" applyAlignment="1">
      <alignment horizontal="center" vertical="center" textRotation="90"/>
    </xf>
    <xf numFmtId="0" fontId="7" fillId="15" borderId="33" xfId="0" applyFont="1" applyFill="1" applyBorder="1" applyAlignment="1">
      <alignment horizontal="center" vertical="center" textRotation="90" wrapText="1"/>
    </xf>
    <xf numFmtId="0" fontId="7" fillId="4" borderId="46" xfId="0" applyFont="1" applyFill="1" applyBorder="1" applyAlignment="1">
      <alignment horizontal="center" vertical="center" textRotation="90"/>
    </xf>
    <xf numFmtId="0" fontId="7" fillId="4" borderId="47" xfId="0" applyFont="1" applyFill="1" applyBorder="1" applyAlignment="1">
      <alignment horizontal="center" vertical="center" textRotation="90"/>
    </xf>
    <xf numFmtId="0" fontId="7" fillId="4" borderId="41" xfId="0" applyFont="1" applyFill="1" applyBorder="1" applyAlignment="1">
      <alignment horizontal="center" vertical="center" textRotation="90"/>
    </xf>
    <xf numFmtId="0" fontId="9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2" fontId="6" fillId="5" borderId="36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25" borderId="1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/>
    </xf>
    <xf numFmtId="0" fontId="7" fillId="26" borderId="16" xfId="0" applyFont="1" applyFill="1" applyBorder="1" applyAlignment="1">
      <alignment horizontal="center"/>
    </xf>
    <xf numFmtId="167" fontId="7" fillId="25" borderId="16" xfId="0" applyNumberFormat="1" applyFont="1" applyFill="1" applyBorder="1" applyAlignment="1">
      <alignment horizontal="center" wrapText="1"/>
    </xf>
    <xf numFmtId="166" fontId="7" fillId="25" borderId="16" xfId="0" applyNumberFormat="1" applyFont="1" applyFill="1" applyBorder="1" applyAlignment="1">
      <alignment horizontal="center" wrapText="1"/>
    </xf>
    <xf numFmtId="1" fontId="7" fillId="25" borderId="16" xfId="0" applyNumberFormat="1" applyFont="1" applyFill="1" applyBorder="1" applyAlignment="1">
      <alignment horizontal="center" wrapText="1"/>
    </xf>
    <xf numFmtId="0" fontId="7" fillId="25" borderId="16" xfId="0" applyFont="1" applyFill="1" applyBorder="1" applyAlignment="1">
      <alignment horizontal="center" wrapText="1"/>
    </xf>
    <xf numFmtId="1" fontId="7" fillId="26" borderId="16" xfId="0" applyNumberFormat="1" applyFont="1" applyFill="1" applyBorder="1" applyAlignment="1">
      <alignment horizontal="center"/>
    </xf>
    <xf numFmtId="0" fontId="7" fillId="26" borderId="31" xfId="0" applyFont="1" applyFill="1" applyBorder="1" applyAlignment="1">
      <alignment horizontal="center"/>
    </xf>
    <xf numFmtId="0" fontId="7" fillId="26" borderId="17" xfId="0" applyFont="1" applyFill="1" applyBorder="1" applyAlignment="1">
      <alignment horizontal="center"/>
    </xf>
    <xf numFmtId="166" fontId="7" fillId="26" borderId="24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2" fontId="7" fillId="10" borderId="20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zoomScaleNormal="100" zoomScaleSheetLayoutView="100" workbookViewId="0">
      <selection activeCell="J83" sqref="J83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299" t="s">
        <v>25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299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299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299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299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299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299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299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299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299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299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299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299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00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00"/>
      <c r="P17" s="3"/>
    </row>
    <row r="18" spans="1:16" ht="19.5" customHeight="1" thickBot="1" x14ac:dyDescent="0.25">
      <c r="A18" s="5"/>
      <c r="B18" s="89">
        <f t="shared" ref="B18:B63" si="2">B17</f>
        <v>2026</v>
      </c>
      <c r="C18" s="89">
        <f>C3</f>
        <v>1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00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00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00"/>
      <c r="P20" s="3"/>
    </row>
    <row r="21" spans="1:16" ht="19.5" customHeight="1" thickBot="1" x14ac:dyDescent="0.25">
      <c r="A21" s="5"/>
      <c r="B21" s="97">
        <f t="shared" si="2"/>
        <v>2026</v>
      </c>
      <c r="C21" s="98">
        <f>C6</f>
        <v>1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00"/>
      <c r="P21" s="3"/>
    </row>
    <row r="22" spans="1:16" ht="19.5" customHeight="1" thickBot="1" x14ac:dyDescent="0.25">
      <c r="A22" s="5"/>
      <c r="B22" s="106">
        <f t="shared" si="2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04" t="s">
        <v>19</v>
      </c>
      <c r="P22" s="3"/>
    </row>
    <row r="23" spans="1:16" ht="19.5" customHeight="1" thickBot="1" x14ac:dyDescent="0.25">
      <c r="A23" s="5"/>
      <c r="B23" s="106">
        <f t="shared" si="2"/>
        <v>2026</v>
      </c>
      <c r="C23" s="114">
        <f>C3</f>
        <v>1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04"/>
      <c r="P23" s="3"/>
    </row>
    <row r="24" spans="1:16" ht="19.5" customHeight="1" thickBot="1" x14ac:dyDescent="0.25">
      <c r="A24" s="5"/>
      <c r="B24" s="121">
        <f t="shared" si="2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04"/>
      <c r="P24" s="3"/>
    </row>
    <row r="25" spans="1:16" ht="19.5" customHeight="1" thickBot="1" x14ac:dyDescent="0.25">
      <c r="A25" s="5"/>
      <c r="B25" s="129">
        <f t="shared" si="2"/>
        <v>2026</v>
      </c>
      <c r="C25" s="129">
        <f>C3</f>
        <v>1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03" t="s">
        <v>26</v>
      </c>
      <c r="P25" s="3"/>
    </row>
    <row r="26" spans="1:16" ht="19.5" customHeight="1" thickBot="1" x14ac:dyDescent="0.25">
      <c r="A26" s="5"/>
      <c r="B26" s="137">
        <f t="shared" si="2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03"/>
      <c r="P26" s="3"/>
    </row>
    <row r="27" spans="1:16" ht="19.5" customHeight="1" thickBot="1" x14ac:dyDescent="0.25">
      <c r="A27" s="5"/>
      <c r="B27" s="137">
        <f t="shared" si="2"/>
        <v>2026</v>
      </c>
      <c r="C27" s="137">
        <f>C3</f>
        <v>1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03"/>
      <c r="P27" s="3"/>
    </row>
    <row r="28" spans="1:16" ht="19.5" customHeight="1" thickBot="1" x14ac:dyDescent="0.25">
      <c r="A28" s="5"/>
      <c r="B28" s="137">
        <f t="shared" si="2"/>
        <v>2026</v>
      </c>
      <c r="C28" s="137">
        <f>C3</f>
        <v>1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03"/>
      <c r="P28" s="3"/>
    </row>
    <row r="29" spans="1:16" ht="19.5" customHeight="1" thickBot="1" x14ac:dyDescent="0.25">
      <c r="A29" s="5"/>
      <c r="B29" s="137">
        <f t="shared" si="2"/>
        <v>2026</v>
      </c>
      <c r="C29" s="137">
        <f>C3</f>
        <v>1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03"/>
      <c r="P29" s="3"/>
    </row>
    <row r="30" spans="1:16" ht="19.5" customHeight="1" thickBot="1" x14ac:dyDescent="0.25">
      <c r="A30" s="5"/>
      <c r="B30" s="137">
        <f t="shared" si="2"/>
        <v>2026</v>
      </c>
      <c r="C30" s="137">
        <f>C3</f>
        <v>1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03"/>
      <c r="P30" s="3"/>
    </row>
    <row r="31" spans="1:16" ht="19.5" customHeight="1" thickBot="1" x14ac:dyDescent="0.25">
      <c r="A31" s="5"/>
      <c r="B31" s="137">
        <f t="shared" si="2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03"/>
      <c r="P31" s="3"/>
    </row>
    <row r="32" spans="1:16" ht="19.5" customHeight="1" thickBot="1" x14ac:dyDescent="0.25">
      <c r="A32" s="5"/>
      <c r="B32" s="137">
        <f t="shared" si="2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03"/>
      <c r="P32" s="3"/>
    </row>
    <row r="33" spans="1:16" ht="19.5" customHeight="1" thickBot="1" x14ac:dyDescent="0.25">
      <c r="A33" s="5"/>
      <c r="B33" s="147">
        <f t="shared" si="2"/>
        <v>2026</v>
      </c>
      <c r="C33" s="148">
        <f>C3</f>
        <v>1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03"/>
      <c r="P33" s="3"/>
    </row>
    <row r="34" spans="1:16" ht="19.5" customHeight="1" thickBot="1" x14ac:dyDescent="0.25">
      <c r="A34" s="5"/>
      <c r="B34" s="257">
        <f t="shared" si="2"/>
        <v>2026</v>
      </c>
      <c r="C34" s="157">
        <f>C3</f>
        <v>1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01" t="s">
        <v>6</v>
      </c>
      <c r="P34" s="3"/>
    </row>
    <row r="35" spans="1:16" ht="19.5" customHeight="1" thickBot="1" x14ac:dyDescent="0.25">
      <c r="A35" s="5"/>
      <c r="B35" s="258">
        <f t="shared" si="2"/>
        <v>2026</v>
      </c>
      <c r="C35" s="157">
        <f>C3</f>
        <v>1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01"/>
      <c r="P35" s="3"/>
    </row>
    <row r="36" spans="1:16" ht="19.5" customHeight="1" thickBot="1" x14ac:dyDescent="0.25">
      <c r="A36" s="5"/>
      <c r="B36" s="258">
        <f t="shared" si="2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01"/>
      <c r="P36" s="3"/>
    </row>
    <row r="37" spans="1:16" ht="19.5" customHeight="1" thickBot="1" x14ac:dyDescent="0.25">
      <c r="A37" s="5"/>
      <c r="B37" s="258">
        <f t="shared" si="2"/>
        <v>2026</v>
      </c>
      <c r="C37" s="157">
        <f>C3</f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31</v>
      </c>
      <c r="J37" s="170">
        <v>9</v>
      </c>
      <c r="K37" s="170" t="s">
        <v>32</v>
      </c>
      <c r="L37" s="171">
        <v>7</v>
      </c>
      <c r="M37" s="172">
        <v>20</v>
      </c>
      <c r="N37" s="173">
        <v>9.8000000000000007</v>
      </c>
      <c r="O37" s="301"/>
      <c r="P37" s="3"/>
    </row>
    <row r="38" spans="1:16" ht="19.5" customHeight="1" thickBot="1" x14ac:dyDescent="0.25">
      <c r="A38" s="5"/>
      <c r="B38" s="259">
        <f t="shared" si="2"/>
        <v>2026</v>
      </c>
      <c r="C38" s="174">
        <f>C3</f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31</v>
      </c>
      <c r="J38" s="179">
        <v>28</v>
      </c>
      <c r="K38" s="179" t="s">
        <v>32</v>
      </c>
      <c r="L38" s="180">
        <v>6</v>
      </c>
      <c r="M38" s="181">
        <v>13</v>
      </c>
      <c r="N38" s="182"/>
      <c r="O38" s="301"/>
      <c r="P38" s="3"/>
    </row>
    <row r="39" spans="1:16" ht="19.5" customHeight="1" x14ac:dyDescent="0.2">
      <c r="A39" s="5"/>
      <c r="B39" s="256">
        <f t="shared" si="2"/>
        <v>2026</v>
      </c>
      <c r="C39" s="183">
        <f>C3</f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31</v>
      </c>
      <c r="J39" s="189">
        <v>4</v>
      </c>
      <c r="K39" s="189" t="s">
        <v>32</v>
      </c>
      <c r="L39" s="190">
        <v>8</v>
      </c>
      <c r="M39" s="191">
        <v>15</v>
      </c>
      <c r="N39" s="192">
        <v>10.25</v>
      </c>
      <c r="O39" s="305" t="s">
        <v>7</v>
      </c>
      <c r="P39" s="3"/>
    </row>
    <row r="40" spans="1:16" ht="19.5" customHeight="1" x14ac:dyDescent="0.2">
      <c r="A40" s="5"/>
      <c r="B40" s="254">
        <f t="shared" si="2"/>
        <v>2026</v>
      </c>
      <c r="C40" s="193">
        <f>C3</f>
        <v>1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06"/>
      <c r="P40" s="3"/>
    </row>
    <row r="41" spans="1:16" ht="19.5" customHeight="1" x14ac:dyDescent="0.2">
      <c r="A41" s="5"/>
      <c r="B41" s="254">
        <f t="shared" si="2"/>
        <v>2026</v>
      </c>
      <c r="C41" s="193">
        <f>C3</f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33</v>
      </c>
      <c r="J41" s="197"/>
      <c r="K41" s="197" t="s">
        <v>32</v>
      </c>
      <c r="L41" s="198"/>
      <c r="M41" s="199"/>
      <c r="N41" s="200"/>
      <c r="O41" s="306"/>
      <c r="P41" s="3"/>
    </row>
    <row r="42" spans="1:16" ht="19.5" customHeight="1" x14ac:dyDescent="0.2">
      <c r="A42" s="5"/>
      <c r="B42" s="254">
        <f t="shared" si="2"/>
        <v>2026</v>
      </c>
      <c r="C42" s="193">
        <f>C3</f>
        <v>1</v>
      </c>
      <c r="D42" s="194">
        <v>706</v>
      </c>
      <c r="E42" s="195">
        <v>46097</v>
      </c>
      <c r="F42" s="288"/>
      <c r="G42" s="196">
        <v>88</v>
      </c>
      <c r="H42" s="188">
        <v>3</v>
      </c>
      <c r="I42" s="188" t="s">
        <v>31</v>
      </c>
      <c r="J42" s="197">
        <v>14</v>
      </c>
      <c r="K42" s="197" t="s">
        <v>32</v>
      </c>
      <c r="L42" s="198">
        <v>6</v>
      </c>
      <c r="M42" s="199">
        <v>11</v>
      </c>
      <c r="N42" s="200"/>
      <c r="O42" s="306"/>
      <c r="P42" s="3"/>
    </row>
    <row r="43" spans="1:16" ht="19.5" customHeight="1" x14ac:dyDescent="0.2">
      <c r="A43" s="5"/>
      <c r="B43" s="254">
        <f t="shared" si="2"/>
        <v>2026</v>
      </c>
      <c r="C43" s="193">
        <f>C3</f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31</v>
      </c>
      <c r="J43" s="197">
        <v>12</v>
      </c>
      <c r="K43" s="197" t="s">
        <v>32</v>
      </c>
      <c r="L43" s="198">
        <v>6</v>
      </c>
      <c r="M43" s="199">
        <v>6</v>
      </c>
      <c r="N43" s="200">
        <v>6</v>
      </c>
      <c r="O43" s="306"/>
      <c r="P43" s="3"/>
    </row>
    <row r="44" spans="1:16" ht="19.5" customHeight="1" x14ac:dyDescent="0.2">
      <c r="A44" s="5"/>
      <c r="B44" s="254">
        <f t="shared" si="2"/>
        <v>2026</v>
      </c>
      <c r="C44" s="193">
        <f>C3</f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33</v>
      </c>
      <c r="J44" s="197"/>
      <c r="K44" s="197" t="s">
        <v>32</v>
      </c>
      <c r="L44" s="198"/>
      <c r="M44" s="199"/>
      <c r="N44" s="200"/>
      <c r="O44" s="306"/>
      <c r="P44" s="3"/>
    </row>
    <row r="45" spans="1:16" ht="19.5" customHeight="1" x14ac:dyDescent="0.2">
      <c r="A45" s="5"/>
      <c r="B45" s="201">
        <f t="shared" si="2"/>
        <v>2026</v>
      </c>
      <c r="C45" s="201">
        <f>C3</f>
        <v>1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06"/>
      <c r="P45" s="3"/>
    </row>
    <row r="46" spans="1:16" ht="19.5" customHeight="1" x14ac:dyDescent="0.2">
      <c r="A46" s="5"/>
      <c r="B46" s="254">
        <f t="shared" si="2"/>
        <v>2026</v>
      </c>
      <c r="C46" s="193">
        <f>C3</f>
        <v>1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06"/>
      <c r="P46" s="3"/>
    </row>
    <row r="47" spans="1:16" ht="19.5" customHeight="1" x14ac:dyDescent="0.2">
      <c r="A47" s="5"/>
      <c r="B47" s="254">
        <f t="shared" si="2"/>
        <v>2026</v>
      </c>
      <c r="C47" s="193">
        <f>C3</f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33</v>
      </c>
      <c r="J47" s="197"/>
      <c r="K47" s="197" t="s">
        <v>32</v>
      </c>
      <c r="L47" s="198"/>
      <c r="M47" s="199"/>
      <c r="N47" s="200"/>
      <c r="O47" s="306"/>
      <c r="P47" s="3"/>
    </row>
    <row r="48" spans="1:16" ht="19.5" customHeight="1" x14ac:dyDescent="0.2">
      <c r="A48" s="5"/>
      <c r="B48" s="254">
        <f t="shared" si="2"/>
        <v>2026</v>
      </c>
      <c r="C48" s="193">
        <f>C3</f>
        <v>1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06"/>
      <c r="P48" s="3"/>
    </row>
    <row r="49" spans="1:16" ht="19.5" customHeight="1" x14ac:dyDescent="0.2">
      <c r="A49" s="5"/>
      <c r="B49" s="254">
        <f t="shared" si="2"/>
        <v>2026</v>
      </c>
      <c r="C49" s="193">
        <f>C3</f>
        <v>1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06"/>
      <c r="P49" s="3"/>
    </row>
    <row r="50" spans="1:16" ht="19.5" customHeight="1" x14ac:dyDescent="0.2">
      <c r="A50" s="5"/>
      <c r="B50" s="254">
        <f t="shared" si="2"/>
        <v>2026</v>
      </c>
      <c r="C50" s="193">
        <f>C3</f>
        <v>1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06"/>
      <c r="P50" s="3"/>
    </row>
    <row r="51" spans="1:16" ht="19.5" customHeight="1" thickBot="1" x14ac:dyDescent="0.25">
      <c r="A51" s="5"/>
      <c r="B51" s="255">
        <f t="shared" si="2"/>
        <v>2026</v>
      </c>
      <c r="C51" s="251">
        <f>C3</f>
        <v>1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07"/>
      <c r="P51" s="3"/>
    </row>
    <row r="52" spans="1:16" ht="19.5" customHeight="1" thickBot="1" x14ac:dyDescent="0.25">
      <c r="A52" s="5"/>
      <c r="B52" s="252">
        <f t="shared" si="2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31</v>
      </c>
      <c r="J52" s="30">
        <v>2</v>
      </c>
      <c r="K52" s="30" t="s">
        <v>32</v>
      </c>
      <c r="L52" s="31">
        <v>6</v>
      </c>
      <c r="M52" s="32">
        <v>6</v>
      </c>
      <c r="N52" s="33">
        <v>6</v>
      </c>
      <c r="O52" s="302" t="s">
        <v>8</v>
      </c>
      <c r="P52" s="3"/>
    </row>
    <row r="53" spans="1:16" ht="19.5" customHeight="1" thickBot="1" x14ac:dyDescent="0.25">
      <c r="A53" s="5"/>
      <c r="B53" s="250">
        <f t="shared" si="2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02"/>
      <c r="P53" s="3"/>
    </row>
    <row r="54" spans="1:16" ht="19.5" customHeight="1" thickBot="1" x14ac:dyDescent="0.25">
      <c r="A54" s="5"/>
      <c r="B54" s="249">
        <f t="shared" si="2"/>
        <v>2026</v>
      </c>
      <c r="C54" s="44">
        <f>C3</f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02"/>
      <c r="P54" s="3"/>
    </row>
    <row r="55" spans="1:16" ht="19.5" customHeight="1" thickBot="1" x14ac:dyDescent="0.3">
      <c r="A55" s="5"/>
      <c r="B55" s="249">
        <f t="shared" si="2"/>
        <v>2026</v>
      </c>
      <c r="C55" s="44">
        <f>C3</f>
        <v>1</v>
      </c>
      <c r="D55" s="58" t="s">
        <v>37</v>
      </c>
      <c r="E55" s="50">
        <v>46098</v>
      </c>
      <c r="F55" s="294">
        <v>8.1</v>
      </c>
      <c r="G55" s="43">
        <v>88</v>
      </c>
      <c r="H55" s="44">
        <v>2</v>
      </c>
      <c r="I55" s="45" t="s">
        <v>33</v>
      </c>
      <c r="J55" s="46"/>
      <c r="K55" s="46" t="s">
        <v>32</v>
      </c>
      <c r="L55" s="47"/>
      <c r="M55" s="48"/>
      <c r="N55" s="49"/>
      <c r="O55" s="302"/>
      <c r="P55" s="3"/>
    </row>
    <row r="56" spans="1:16" ht="19.5" customHeight="1" thickBot="1" x14ac:dyDescent="0.3">
      <c r="A56" s="5"/>
      <c r="B56" s="249">
        <f t="shared" si="2"/>
        <v>2026</v>
      </c>
      <c r="C56" s="44">
        <f>C3</f>
        <v>1</v>
      </c>
      <c r="D56" s="58" t="s">
        <v>38</v>
      </c>
      <c r="E56" s="50">
        <v>46098</v>
      </c>
      <c r="F56" s="294">
        <v>3.2</v>
      </c>
      <c r="G56" s="43">
        <v>156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02"/>
      <c r="P56" s="3"/>
    </row>
    <row r="57" spans="1:16" ht="19.5" customHeight="1" thickBot="1" x14ac:dyDescent="0.25">
      <c r="A57" s="5"/>
      <c r="B57" s="249">
        <f t="shared" si="2"/>
        <v>2026</v>
      </c>
      <c r="C57" s="44">
        <f>C3</f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33</v>
      </c>
      <c r="J57" s="46"/>
      <c r="K57" s="46" t="s">
        <v>32</v>
      </c>
      <c r="L57" s="47"/>
      <c r="M57" s="48"/>
      <c r="N57" s="49"/>
      <c r="O57" s="302"/>
      <c r="P57" s="3"/>
    </row>
    <row r="58" spans="1:16" ht="19.5" customHeight="1" thickBot="1" x14ac:dyDescent="0.25">
      <c r="A58" s="5"/>
      <c r="B58" s="249">
        <f t="shared" si="2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02"/>
      <c r="P58" s="3"/>
    </row>
    <row r="59" spans="1:16" ht="19.5" customHeight="1" thickBot="1" x14ac:dyDescent="0.25">
      <c r="A59" s="7"/>
      <c r="B59" s="249">
        <f t="shared" si="2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02"/>
      <c r="P59" s="3"/>
    </row>
    <row r="60" spans="1:16" ht="19.5" customHeight="1" thickBot="1" x14ac:dyDescent="0.25">
      <c r="A60" s="12"/>
      <c r="B60" s="249">
        <f t="shared" si="2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02"/>
      <c r="P60" s="3"/>
    </row>
    <row r="61" spans="1:16" ht="19.5" customHeight="1" thickBot="1" x14ac:dyDescent="0.25">
      <c r="A61" s="11"/>
      <c r="B61" s="249">
        <f t="shared" si="2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302"/>
      <c r="P61" s="3"/>
    </row>
    <row r="62" spans="1:16" ht="19.5" customHeight="1" thickBot="1" x14ac:dyDescent="0.25">
      <c r="B62" s="260">
        <f t="shared" si="2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02"/>
      <c r="P62" s="3"/>
    </row>
    <row r="63" spans="1:16" ht="19.5" customHeight="1" thickBot="1" x14ac:dyDescent="0.25">
      <c r="A63" s="14"/>
      <c r="B63" s="253">
        <f t="shared" si="2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02"/>
      <c r="P63" s="6"/>
    </row>
    <row r="64" spans="1:16" ht="19.5" customHeight="1" x14ac:dyDescent="0.25">
      <c r="A64" s="14"/>
      <c r="B64" s="221" t="s">
        <v>29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28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27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39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v>47</v>
      </c>
      <c r="P72" s="14"/>
    </row>
    <row r="73" spans="1:16" ht="15" customHeight="1" x14ac:dyDescent="0.2">
      <c r="I73" s="10" t="s">
        <v>15</v>
      </c>
      <c r="J73" s="13">
        <f>J72/J71</f>
        <v>0.26256983240223464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0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0</v>
      </c>
      <c r="K78" s="248"/>
      <c r="N78" s="18"/>
    </row>
    <row r="79" spans="1:16" x14ac:dyDescent="0.2">
      <c r="I79" s="248" t="s">
        <v>6</v>
      </c>
      <c r="J79" s="18">
        <f>SUM(J34:J38)</f>
        <v>37</v>
      </c>
      <c r="K79" s="248"/>
      <c r="N79" s="18"/>
    </row>
    <row r="80" spans="1:16" x14ac:dyDescent="0.2">
      <c r="I80" s="248" t="s">
        <v>23</v>
      </c>
      <c r="J80" s="18">
        <f>SUM(J39:J51)</f>
        <v>30</v>
      </c>
      <c r="K80" s="248"/>
      <c r="N80" s="18"/>
    </row>
    <row r="81" spans="9:14" x14ac:dyDescent="0.2">
      <c r="I81" s="248" t="s">
        <v>30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69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03117CA3-B570-47DA-9B39-8F5767E76F20}">
      <formula1>"Not Processed, No Smelt Catch, Not Sampled, Longfin Smelt, Delta Smelt"</formula1>
    </dataValidation>
    <dataValidation type="list" allowBlank="1" showInputMessage="1" showErrorMessage="1" sqref="K3:K63" xr:uid="{230275AC-A076-4A7B-861D-C65AD880E69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workbookViewId="0">
      <selection activeCell="M85" sqref="M85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35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310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P1" s="3"/>
    </row>
    <row r="2" spans="1:16" s="317" customFormat="1" ht="36" customHeight="1" thickBot="1" x14ac:dyDescent="0.25">
      <c r="A2" s="313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14" t="s">
        <v>11</v>
      </c>
      <c r="O2" s="315"/>
      <c r="P2" s="316"/>
    </row>
    <row r="3" spans="1:16" ht="19.5" customHeight="1" thickBot="1" x14ac:dyDescent="0.25">
      <c r="A3" s="318"/>
      <c r="B3" s="61">
        <f>'[1]Survey 1'!B3</f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299" t="s">
        <v>25</v>
      </c>
      <c r="P3" s="3"/>
    </row>
    <row r="4" spans="1:16" ht="19.5" customHeight="1" thickBot="1" x14ac:dyDescent="0.25">
      <c r="A4" s="318"/>
      <c r="B4" s="67">
        <f>B3</f>
        <v>2026</v>
      </c>
      <c r="C4" s="68">
        <f t="shared" ref="C4:C15" si="0">C3</f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299"/>
      <c r="P4" s="3"/>
    </row>
    <row r="5" spans="1:16" ht="19.5" customHeight="1" thickBot="1" x14ac:dyDescent="0.25">
      <c r="A5" s="318"/>
      <c r="B5" s="67">
        <f t="shared" ref="B5:B14" si="1">B4</f>
        <v>2026</v>
      </c>
      <c r="C5" s="68">
        <f t="shared" si="0"/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299"/>
      <c r="P5" s="3"/>
    </row>
    <row r="6" spans="1:16" ht="19.5" customHeight="1" thickBot="1" x14ac:dyDescent="0.25">
      <c r="A6" s="318"/>
      <c r="B6" s="67">
        <f t="shared" si="1"/>
        <v>2026</v>
      </c>
      <c r="C6" s="68">
        <f t="shared" si="0"/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299"/>
      <c r="P6" s="3"/>
    </row>
    <row r="7" spans="1:16" ht="19.5" customHeight="1" thickBot="1" x14ac:dyDescent="0.25">
      <c r="A7" s="318"/>
      <c r="B7" s="67">
        <f t="shared" si="1"/>
        <v>2026</v>
      </c>
      <c r="C7" s="68">
        <f t="shared" si="0"/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299"/>
      <c r="P7" s="3"/>
    </row>
    <row r="8" spans="1:16" ht="19.5" customHeight="1" thickBot="1" x14ac:dyDescent="0.25">
      <c r="A8" s="318"/>
      <c r="B8" s="67">
        <f t="shared" si="1"/>
        <v>2026</v>
      </c>
      <c r="C8" s="68">
        <f t="shared" si="0"/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299"/>
      <c r="P8" s="3"/>
    </row>
    <row r="9" spans="1:16" ht="19.5" customHeight="1" thickBot="1" x14ac:dyDescent="0.25">
      <c r="A9" s="318"/>
      <c r="B9" s="67">
        <f t="shared" si="1"/>
        <v>2026</v>
      </c>
      <c r="C9" s="68">
        <f t="shared" si="0"/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299"/>
      <c r="P9" s="3"/>
    </row>
    <row r="10" spans="1:16" ht="19.5" customHeight="1" thickBot="1" x14ac:dyDescent="0.25">
      <c r="A10" s="318"/>
      <c r="B10" s="67">
        <f t="shared" si="1"/>
        <v>2026</v>
      </c>
      <c r="C10" s="68">
        <f t="shared" si="0"/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299"/>
      <c r="P10" s="3"/>
    </row>
    <row r="11" spans="1:16" ht="19.5" customHeight="1" thickBot="1" x14ac:dyDescent="0.25">
      <c r="A11" s="318"/>
      <c r="B11" s="67">
        <f t="shared" si="1"/>
        <v>2026</v>
      </c>
      <c r="C11" s="68">
        <f t="shared" si="0"/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299"/>
      <c r="P11" s="3"/>
    </row>
    <row r="12" spans="1:16" ht="19.5" customHeight="1" thickBot="1" x14ac:dyDescent="0.25">
      <c r="A12" s="318"/>
      <c r="B12" s="67">
        <f t="shared" si="1"/>
        <v>2026</v>
      </c>
      <c r="C12" s="68">
        <f t="shared" si="0"/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299"/>
      <c r="P12" s="3"/>
    </row>
    <row r="13" spans="1:16" ht="19.5" customHeight="1" thickBot="1" x14ac:dyDescent="0.25">
      <c r="A13" s="318"/>
      <c r="B13" s="67">
        <f t="shared" si="1"/>
        <v>2026</v>
      </c>
      <c r="C13" s="68">
        <f t="shared" si="0"/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299"/>
      <c r="P13" s="3"/>
    </row>
    <row r="14" spans="1:16" ht="19.5" customHeight="1" thickBot="1" x14ac:dyDescent="0.25">
      <c r="A14" s="318"/>
      <c r="B14" s="67">
        <f t="shared" si="1"/>
        <v>2026</v>
      </c>
      <c r="C14" s="68">
        <f t="shared" si="0"/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299"/>
      <c r="P14" s="3"/>
    </row>
    <row r="15" spans="1:16" ht="19.5" customHeight="1" thickBot="1" x14ac:dyDescent="0.25">
      <c r="A15" s="318"/>
      <c r="B15" s="75">
        <f>B14</f>
        <v>2026</v>
      </c>
      <c r="C15" s="68">
        <f t="shared" si="0"/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299"/>
      <c r="P15" s="3"/>
    </row>
    <row r="16" spans="1:16" ht="19.5" customHeight="1" thickBot="1" x14ac:dyDescent="0.25">
      <c r="A16" s="318"/>
      <c r="B16" s="81">
        <f>B15</f>
        <v>2026</v>
      </c>
      <c r="C16" s="82">
        <f>C3</f>
        <v>2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00" t="s">
        <v>18</v>
      </c>
      <c r="P16" s="3"/>
    </row>
    <row r="17" spans="1:16" ht="19.5" customHeight="1" thickBot="1" x14ac:dyDescent="0.25">
      <c r="A17" s="318"/>
      <c r="B17" s="89">
        <f>B16</f>
        <v>2026</v>
      </c>
      <c r="C17" s="89">
        <f>C3</f>
        <v>2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00"/>
      <c r="P17" s="3"/>
    </row>
    <row r="18" spans="1:16" ht="19.5" customHeight="1" thickBot="1" x14ac:dyDescent="0.25">
      <c r="A18" s="318"/>
      <c r="B18" s="89">
        <f t="shared" ref="B18:B63" si="2">B17</f>
        <v>2026</v>
      </c>
      <c r="C18" s="89">
        <f>C3</f>
        <v>2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00"/>
      <c r="P18" s="3"/>
    </row>
    <row r="19" spans="1:16" ht="19.5" customHeight="1" thickBot="1" x14ac:dyDescent="0.25">
      <c r="A19" s="318"/>
      <c r="B19" s="89">
        <f t="shared" si="2"/>
        <v>2026</v>
      </c>
      <c r="C19" s="89">
        <f>C4</f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00"/>
      <c r="P19" s="3"/>
    </row>
    <row r="20" spans="1:16" ht="19.5" customHeight="1" thickBot="1" x14ac:dyDescent="0.25">
      <c r="A20" s="318"/>
      <c r="B20" s="89">
        <f t="shared" si="2"/>
        <v>2026</v>
      </c>
      <c r="C20" s="89">
        <f>C5</f>
        <v>2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00"/>
      <c r="P20" s="3"/>
    </row>
    <row r="21" spans="1:16" ht="19.5" customHeight="1" thickBot="1" x14ac:dyDescent="0.25">
      <c r="A21" s="318"/>
      <c r="B21" s="97">
        <f t="shared" si="2"/>
        <v>2026</v>
      </c>
      <c r="C21" s="98">
        <f>C6</f>
        <v>2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00"/>
      <c r="P21" s="3"/>
    </row>
    <row r="22" spans="1:16" ht="19.5" customHeight="1" thickBot="1" x14ac:dyDescent="0.25">
      <c r="A22" s="318"/>
      <c r="B22" s="106">
        <f t="shared" si="2"/>
        <v>2026</v>
      </c>
      <c r="C22" s="107">
        <f>C3</f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04" t="s">
        <v>19</v>
      </c>
      <c r="P22" s="3"/>
    </row>
    <row r="23" spans="1:16" ht="19.5" customHeight="1" thickBot="1" x14ac:dyDescent="0.25">
      <c r="A23" s="318"/>
      <c r="B23" s="106">
        <f t="shared" si="2"/>
        <v>2026</v>
      </c>
      <c r="C23" s="114">
        <f>C3</f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04"/>
      <c r="P23" s="3"/>
    </row>
    <row r="24" spans="1:16" ht="19.5" customHeight="1" thickBot="1" x14ac:dyDescent="0.25">
      <c r="A24" s="318"/>
      <c r="B24" s="121">
        <f t="shared" si="2"/>
        <v>2026</v>
      </c>
      <c r="C24" s="121">
        <f>C3</f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04"/>
      <c r="P24" s="3"/>
    </row>
    <row r="25" spans="1:16" ht="19.5" customHeight="1" thickBot="1" x14ac:dyDescent="0.25">
      <c r="A25" s="318"/>
      <c r="B25" s="129">
        <f t="shared" si="2"/>
        <v>2026</v>
      </c>
      <c r="C25" s="129">
        <f>C3</f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03" t="s">
        <v>26</v>
      </c>
      <c r="P25" s="3"/>
    </row>
    <row r="26" spans="1:16" ht="19.5" customHeight="1" thickBot="1" x14ac:dyDescent="0.25">
      <c r="A26" s="318"/>
      <c r="B26" s="137">
        <f t="shared" si="2"/>
        <v>2026</v>
      </c>
      <c r="C26" s="137">
        <f>C3</f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03"/>
      <c r="P26" s="3"/>
    </row>
    <row r="27" spans="1:16" ht="19.5" customHeight="1" thickBot="1" x14ac:dyDescent="0.25">
      <c r="A27" s="318"/>
      <c r="B27" s="137">
        <f t="shared" si="2"/>
        <v>2026</v>
      </c>
      <c r="C27" s="137">
        <f>C3</f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03"/>
      <c r="P27" s="3"/>
    </row>
    <row r="28" spans="1:16" ht="19.5" customHeight="1" thickBot="1" x14ac:dyDescent="0.25">
      <c r="A28" s="318"/>
      <c r="B28" s="137">
        <f t="shared" si="2"/>
        <v>2026</v>
      </c>
      <c r="C28" s="137">
        <f>C3</f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03"/>
      <c r="P28" s="3"/>
    </row>
    <row r="29" spans="1:16" ht="19.5" customHeight="1" thickBot="1" x14ac:dyDescent="0.25">
      <c r="A29" s="318"/>
      <c r="B29" s="137">
        <f t="shared" si="2"/>
        <v>2026</v>
      </c>
      <c r="C29" s="137">
        <f>C3</f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03"/>
      <c r="P29" s="3"/>
    </row>
    <row r="30" spans="1:16" ht="19.5" customHeight="1" thickBot="1" x14ac:dyDescent="0.25">
      <c r="A30" s="318"/>
      <c r="B30" s="137">
        <f t="shared" si="2"/>
        <v>2026</v>
      </c>
      <c r="C30" s="137">
        <f>C3</f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03"/>
      <c r="P30" s="3"/>
    </row>
    <row r="31" spans="1:16" ht="19.5" customHeight="1" thickBot="1" x14ac:dyDescent="0.25">
      <c r="A31" s="318"/>
      <c r="B31" s="137">
        <f t="shared" si="2"/>
        <v>2026</v>
      </c>
      <c r="C31" s="137">
        <f>C3</f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03"/>
      <c r="P31" s="3"/>
    </row>
    <row r="32" spans="1:16" ht="19.5" customHeight="1" thickBot="1" x14ac:dyDescent="0.25">
      <c r="A32" s="318"/>
      <c r="B32" s="137">
        <f t="shared" si="2"/>
        <v>2026</v>
      </c>
      <c r="C32" s="137">
        <f>C3</f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03"/>
      <c r="P32" s="3"/>
    </row>
    <row r="33" spans="1:16" ht="19.5" customHeight="1" thickBot="1" x14ac:dyDescent="0.25">
      <c r="A33" s="318"/>
      <c r="B33" s="147">
        <f t="shared" si="2"/>
        <v>2026</v>
      </c>
      <c r="C33" s="148">
        <f>C3</f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03"/>
      <c r="P33" s="3"/>
    </row>
    <row r="34" spans="1:16" ht="19.5" customHeight="1" thickBot="1" x14ac:dyDescent="0.25">
      <c r="A34" s="318"/>
      <c r="B34" s="319">
        <f t="shared" si="2"/>
        <v>2026</v>
      </c>
      <c r="C34" s="320">
        <f>C3</f>
        <v>2</v>
      </c>
      <c r="D34" s="321">
        <v>508</v>
      </c>
      <c r="E34" s="322"/>
      <c r="F34" s="323"/>
      <c r="G34" s="324"/>
      <c r="H34" s="325"/>
      <c r="I34" s="326" t="s">
        <v>34</v>
      </c>
      <c r="J34" s="326"/>
      <c r="K34" s="326"/>
      <c r="L34" s="327"/>
      <c r="M34" s="328"/>
      <c r="N34" s="329"/>
      <c r="O34" s="301" t="s">
        <v>6</v>
      </c>
      <c r="P34" s="3"/>
    </row>
    <row r="35" spans="1:16" ht="19.5" customHeight="1" thickBot="1" x14ac:dyDescent="0.25">
      <c r="A35" s="318"/>
      <c r="B35" s="260">
        <f t="shared" si="2"/>
        <v>2026</v>
      </c>
      <c r="C35" s="320">
        <f>C3</f>
        <v>2</v>
      </c>
      <c r="D35" s="262">
        <v>513</v>
      </c>
      <c r="E35" s="263"/>
      <c r="F35" s="295"/>
      <c r="G35" s="264"/>
      <c r="H35" s="261"/>
      <c r="I35" s="266" t="s">
        <v>34</v>
      </c>
      <c r="J35" s="266"/>
      <c r="K35" s="266"/>
      <c r="L35" s="267"/>
      <c r="M35" s="268"/>
      <c r="N35" s="269"/>
      <c r="O35" s="301"/>
      <c r="P35" s="3"/>
    </row>
    <row r="36" spans="1:16" ht="19.5" customHeight="1" thickBot="1" x14ac:dyDescent="0.25">
      <c r="A36" s="318"/>
      <c r="B36" s="258">
        <f t="shared" si="2"/>
        <v>2026</v>
      </c>
      <c r="C36" s="157">
        <f>C3</f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01"/>
      <c r="P36" s="3"/>
    </row>
    <row r="37" spans="1:16" ht="19.5" customHeight="1" thickBot="1" x14ac:dyDescent="0.25">
      <c r="A37" s="318"/>
      <c r="B37" s="258">
        <f t="shared" si="2"/>
        <v>2026</v>
      </c>
      <c r="C37" s="157">
        <f>C3</f>
        <v>2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01"/>
      <c r="P37" s="3"/>
    </row>
    <row r="38" spans="1:16" ht="19.5" customHeight="1" thickBot="1" x14ac:dyDescent="0.25">
      <c r="A38" s="318"/>
      <c r="B38" s="259">
        <f t="shared" si="2"/>
        <v>2026</v>
      </c>
      <c r="C38" s="174">
        <f>C3</f>
        <v>2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01"/>
      <c r="P38" s="3"/>
    </row>
    <row r="39" spans="1:16" ht="19.5" customHeight="1" x14ac:dyDescent="0.2">
      <c r="A39" s="318"/>
      <c r="B39" s="256">
        <f t="shared" si="2"/>
        <v>2026</v>
      </c>
      <c r="C39" s="183">
        <f>C3</f>
        <v>2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05" t="s">
        <v>7</v>
      </c>
      <c r="P39" s="3"/>
    </row>
    <row r="40" spans="1:16" ht="19.5" customHeight="1" x14ac:dyDescent="0.2">
      <c r="A40" s="318"/>
      <c r="B40" s="254">
        <f t="shared" si="2"/>
        <v>2026</v>
      </c>
      <c r="C40" s="193">
        <f>C3</f>
        <v>2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06"/>
      <c r="P40" s="3"/>
    </row>
    <row r="41" spans="1:16" ht="19.5" customHeight="1" x14ac:dyDescent="0.2">
      <c r="A41" s="318"/>
      <c r="B41" s="254">
        <f t="shared" si="2"/>
        <v>2026</v>
      </c>
      <c r="C41" s="193">
        <f>C3</f>
        <v>2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06"/>
      <c r="P41" s="3"/>
    </row>
    <row r="42" spans="1:16" ht="19.5" customHeight="1" x14ac:dyDescent="0.2">
      <c r="A42" s="318"/>
      <c r="B42" s="254">
        <f t="shared" si="2"/>
        <v>2026</v>
      </c>
      <c r="C42" s="193">
        <f>C3</f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06"/>
      <c r="P42" s="3"/>
    </row>
    <row r="43" spans="1:16" ht="19.5" customHeight="1" x14ac:dyDescent="0.2">
      <c r="A43" s="318"/>
      <c r="B43" s="254">
        <f t="shared" si="2"/>
        <v>2026</v>
      </c>
      <c r="C43" s="193">
        <f>C3</f>
        <v>2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06"/>
      <c r="P43" s="3"/>
    </row>
    <row r="44" spans="1:16" ht="19.5" customHeight="1" x14ac:dyDescent="0.2">
      <c r="A44" s="318"/>
      <c r="B44" s="254">
        <f t="shared" si="2"/>
        <v>2026</v>
      </c>
      <c r="C44" s="193">
        <f>C3</f>
        <v>2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06"/>
      <c r="P44" s="3"/>
    </row>
    <row r="45" spans="1:16" ht="19.5" customHeight="1" x14ac:dyDescent="0.2">
      <c r="A45" s="318"/>
      <c r="B45" s="201">
        <f t="shared" si="2"/>
        <v>2026</v>
      </c>
      <c r="C45" s="201">
        <f>C3</f>
        <v>2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06"/>
      <c r="P45" s="3"/>
    </row>
    <row r="46" spans="1:16" ht="19.5" customHeight="1" x14ac:dyDescent="0.2">
      <c r="A46" s="318"/>
      <c r="B46" s="254">
        <f t="shared" si="2"/>
        <v>2026</v>
      </c>
      <c r="C46" s="193">
        <f>C3</f>
        <v>2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06"/>
      <c r="P46" s="3"/>
    </row>
    <row r="47" spans="1:16" ht="19.5" customHeight="1" x14ac:dyDescent="0.2">
      <c r="A47" s="318"/>
      <c r="B47" s="254">
        <f t="shared" si="2"/>
        <v>2026</v>
      </c>
      <c r="C47" s="193">
        <f>C3</f>
        <v>2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06"/>
      <c r="P47" s="3"/>
    </row>
    <row r="48" spans="1:16" ht="19.5" customHeight="1" x14ac:dyDescent="0.2">
      <c r="A48" s="318"/>
      <c r="B48" s="254">
        <f t="shared" si="2"/>
        <v>2026</v>
      </c>
      <c r="C48" s="193">
        <f>C3</f>
        <v>2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06"/>
      <c r="P48" s="3"/>
    </row>
    <row r="49" spans="1:16" ht="19.5" customHeight="1" x14ac:dyDescent="0.2">
      <c r="A49" s="318"/>
      <c r="B49" s="254">
        <f t="shared" si="2"/>
        <v>2026</v>
      </c>
      <c r="C49" s="193">
        <f>C3</f>
        <v>2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06"/>
      <c r="P49" s="3"/>
    </row>
    <row r="50" spans="1:16" ht="19.5" customHeight="1" x14ac:dyDescent="0.2">
      <c r="A50" s="318"/>
      <c r="B50" s="254">
        <f t="shared" si="2"/>
        <v>2026</v>
      </c>
      <c r="C50" s="193">
        <f>C3</f>
        <v>2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06"/>
      <c r="P50" s="3"/>
    </row>
    <row r="51" spans="1:16" ht="19.5" customHeight="1" thickBot="1" x14ac:dyDescent="0.25">
      <c r="A51" s="318"/>
      <c r="B51" s="255">
        <f t="shared" si="2"/>
        <v>2026</v>
      </c>
      <c r="C51" s="251">
        <f>C3</f>
        <v>2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07"/>
      <c r="P51" s="3"/>
    </row>
    <row r="52" spans="1:16" ht="19.5" customHeight="1" thickBot="1" x14ac:dyDescent="0.25">
      <c r="A52" s="318"/>
      <c r="B52" s="252">
        <f t="shared" si="2"/>
        <v>2026</v>
      </c>
      <c r="C52" s="28">
        <f>C3</f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31</v>
      </c>
      <c r="J52" s="30">
        <v>8</v>
      </c>
      <c r="K52" s="30" t="s">
        <v>32</v>
      </c>
      <c r="L52" s="31">
        <v>7</v>
      </c>
      <c r="M52" s="32">
        <v>12</v>
      </c>
      <c r="N52" s="33">
        <v>10.3</v>
      </c>
      <c r="O52" s="302" t="s">
        <v>8</v>
      </c>
      <c r="P52" s="3"/>
    </row>
    <row r="53" spans="1:16" ht="19.5" customHeight="1" thickBot="1" x14ac:dyDescent="0.25">
      <c r="A53" s="318"/>
      <c r="B53" s="250">
        <f t="shared" si="2"/>
        <v>2026</v>
      </c>
      <c r="C53" s="36">
        <f>C3</f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02"/>
      <c r="P53" s="3"/>
    </row>
    <row r="54" spans="1:16" ht="19.5" customHeight="1" thickBot="1" x14ac:dyDescent="0.25">
      <c r="A54" s="318"/>
      <c r="B54" s="249">
        <f t="shared" si="2"/>
        <v>2026</v>
      </c>
      <c r="C54" s="44">
        <f>C3</f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02"/>
      <c r="P54" s="3"/>
    </row>
    <row r="55" spans="1:16" ht="19.5" customHeight="1" thickBot="1" x14ac:dyDescent="0.25">
      <c r="A55" s="318"/>
      <c r="B55" s="249">
        <f t="shared" si="2"/>
        <v>2026</v>
      </c>
      <c r="C55" s="44">
        <f>C3</f>
        <v>2</v>
      </c>
      <c r="D55" s="58">
        <v>901</v>
      </c>
      <c r="E55" s="50">
        <v>46113</v>
      </c>
      <c r="F55" s="294">
        <v>3.6</v>
      </c>
      <c r="G55" s="43">
        <v>146</v>
      </c>
      <c r="H55" s="44"/>
      <c r="I55" s="45"/>
      <c r="J55" s="46"/>
      <c r="K55" s="46"/>
      <c r="L55" s="47"/>
      <c r="M55" s="48"/>
      <c r="N55" s="49"/>
      <c r="O55" s="302"/>
      <c r="P55" s="3"/>
    </row>
    <row r="56" spans="1:16" ht="19.5" customHeight="1" thickBot="1" x14ac:dyDescent="0.25">
      <c r="A56" s="318"/>
      <c r="B56" s="249">
        <f t="shared" si="2"/>
        <v>2026</v>
      </c>
      <c r="C56" s="44">
        <f>C3</f>
        <v>2</v>
      </c>
      <c r="D56" s="58">
        <v>902</v>
      </c>
      <c r="E56" s="50">
        <v>46113</v>
      </c>
      <c r="F56" s="294">
        <v>2.9</v>
      </c>
      <c r="G56" s="43">
        <v>178</v>
      </c>
      <c r="H56" s="44"/>
      <c r="I56" s="45"/>
      <c r="J56" s="46"/>
      <c r="K56" s="46"/>
      <c r="L56" s="47"/>
      <c r="M56" s="48"/>
      <c r="N56" s="49"/>
      <c r="O56" s="302"/>
      <c r="P56" s="3"/>
    </row>
    <row r="57" spans="1:16" ht="19.5" customHeight="1" thickBot="1" x14ac:dyDescent="0.25">
      <c r="A57" s="318"/>
      <c r="B57" s="249">
        <f t="shared" si="2"/>
        <v>2026</v>
      </c>
      <c r="C57" s="44">
        <f>C3</f>
        <v>2</v>
      </c>
      <c r="D57" s="58">
        <v>906</v>
      </c>
      <c r="E57" s="50">
        <v>46111</v>
      </c>
      <c r="F57" s="294">
        <v>4.2</v>
      </c>
      <c r="G57" s="43">
        <v>173</v>
      </c>
      <c r="H57" s="44"/>
      <c r="I57" s="45"/>
      <c r="J57" s="46"/>
      <c r="K57" s="46"/>
      <c r="L57" s="47"/>
      <c r="M57" s="48"/>
      <c r="N57" s="49"/>
      <c r="O57" s="302"/>
      <c r="P57" s="3"/>
    </row>
    <row r="58" spans="1:16" ht="19.5" customHeight="1" thickBot="1" x14ac:dyDescent="0.25">
      <c r="A58" s="318"/>
      <c r="B58" s="249">
        <f t="shared" si="2"/>
        <v>2026</v>
      </c>
      <c r="C58" s="44">
        <f>C3</f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/>
      <c r="I58" s="45"/>
      <c r="J58" s="46"/>
      <c r="K58" s="46"/>
      <c r="L58" s="47"/>
      <c r="M58" s="48"/>
      <c r="N58" s="49"/>
      <c r="O58" s="302"/>
      <c r="P58" s="3"/>
    </row>
    <row r="59" spans="1:16" ht="19.5" customHeight="1" thickBot="1" x14ac:dyDescent="0.25">
      <c r="A59" s="330"/>
      <c r="B59" s="249">
        <f t="shared" si="2"/>
        <v>2026</v>
      </c>
      <c r="C59" s="44">
        <f>C3</f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02"/>
      <c r="P59" s="3"/>
    </row>
    <row r="60" spans="1:16" ht="19.5" customHeight="1" thickBot="1" x14ac:dyDescent="0.25">
      <c r="A60" s="331"/>
      <c r="B60" s="249">
        <f t="shared" si="2"/>
        <v>2026</v>
      </c>
      <c r="C60" s="44">
        <f>C3</f>
        <v>2</v>
      </c>
      <c r="D60" s="58">
        <v>914</v>
      </c>
      <c r="E60" s="50">
        <v>46113</v>
      </c>
      <c r="F60" s="294">
        <v>5.8</v>
      </c>
      <c r="G60" s="43">
        <v>200</v>
      </c>
      <c r="H60" s="44"/>
      <c r="I60" s="45"/>
      <c r="J60" s="46"/>
      <c r="K60" s="46"/>
      <c r="L60" s="47"/>
      <c r="M60" s="48"/>
      <c r="N60" s="49"/>
      <c r="O60" s="302"/>
      <c r="P60" s="3"/>
    </row>
    <row r="61" spans="1:16" ht="19.5" customHeight="1" thickBot="1" x14ac:dyDescent="0.25">
      <c r="A61" s="332"/>
      <c r="B61" s="249">
        <f t="shared" si="2"/>
        <v>2026</v>
      </c>
      <c r="C61" s="44">
        <f>C3</f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31</v>
      </c>
      <c r="J61" s="46">
        <v>1</v>
      </c>
      <c r="K61" s="46" t="s">
        <v>32</v>
      </c>
      <c r="L61" s="47"/>
      <c r="M61" s="48"/>
      <c r="N61" s="49"/>
      <c r="O61" s="302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2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02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02"/>
      <c r="P63" s="6"/>
    </row>
    <row r="64" spans="1:16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33"/>
      <c r="O64" s="224"/>
      <c r="P64" s="5"/>
    </row>
    <row r="65" spans="1:16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34"/>
      <c r="O65" s="225"/>
      <c r="P65" s="11"/>
    </row>
    <row r="66" spans="1:16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34"/>
      <c r="O66" s="224"/>
      <c r="P66" s="17"/>
    </row>
    <row r="67" spans="1:16" ht="15" customHeight="1" x14ac:dyDescent="0.2">
      <c r="A67" s="224"/>
      <c r="B67" s="227" t="s">
        <v>40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P72" s="14"/>
    </row>
    <row r="73" spans="1:16" ht="15" customHeight="1" x14ac:dyDescent="0.2">
      <c r="I73" s="10" t="s">
        <v>15</v>
      </c>
      <c r="J73" s="13">
        <f>J72/J71</f>
        <v>0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0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30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9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pans="9:15" ht="12.75" x14ac:dyDescent="0.2">
      <c r="I97" s="4"/>
      <c r="N97" s="4"/>
      <c r="O97" s="4"/>
    </row>
    <row r="98" spans="9:15" ht="12.75" x14ac:dyDescent="0.2">
      <c r="I98" s="4"/>
      <c r="N98" s="4"/>
      <c r="O98" s="4"/>
    </row>
    <row r="99" spans="9:15" ht="12.75" x14ac:dyDescent="0.2">
      <c r="I99" s="4"/>
      <c r="N99" s="4"/>
      <c r="O99" s="4"/>
    </row>
    <row r="100" spans="9:15" ht="12.75" x14ac:dyDescent="0.2">
      <c r="I100" s="4"/>
      <c r="N100" s="4"/>
      <c r="O100" s="4"/>
    </row>
    <row r="101" spans="9:15" ht="12.75" x14ac:dyDescent="0.2">
      <c r="I101" s="4"/>
      <c r="N101" s="4"/>
      <c r="O101" s="4"/>
    </row>
    <row r="102" spans="9:15" ht="12.75" x14ac:dyDescent="0.2">
      <c r="I102" s="4"/>
      <c r="N102" s="4"/>
      <c r="O102" s="4"/>
    </row>
    <row r="103" spans="9:15" ht="12.75" x14ac:dyDescent="0.2">
      <c r="I103" s="4"/>
      <c r="N103" s="4"/>
      <c r="O103" s="4"/>
    </row>
    <row r="104" spans="9:15" ht="12.75" x14ac:dyDescent="0.2">
      <c r="I104" s="4"/>
      <c r="N104" s="4"/>
      <c r="O104" s="4"/>
    </row>
    <row r="105" spans="9:15" ht="12.75" x14ac:dyDescent="0.2">
      <c r="I105" s="4"/>
      <c r="N105" s="4"/>
      <c r="O105" s="4"/>
    </row>
    <row r="106" spans="9:15" ht="12.75" x14ac:dyDescent="0.2">
      <c r="I106" s="4"/>
      <c r="N106" s="4"/>
      <c r="O106" s="4"/>
    </row>
    <row r="107" spans="9:15" ht="12.75" x14ac:dyDescent="0.2">
      <c r="I107" s="4"/>
      <c r="N107" s="4"/>
      <c r="O107" s="4"/>
    </row>
    <row r="108" spans="9:15" ht="12.75" x14ac:dyDescent="0.2">
      <c r="I108" s="4"/>
      <c r="N108" s="4"/>
      <c r="O108" s="4"/>
    </row>
    <row r="109" spans="9:15" ht="12.75" x14ac:dyDescent="0.2">
      <c r="I109" s="4"/>
      <c r="N109" s="4"/>
      <c r="O109" s="4"/>
    </row>
    <row r="110" spans="9:15" ht="12.75" x14ac:dyDescent="0.2">
      <c r="I110" s="4"/>
      <c r="N110" s="4"/>
      <c r="O110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73A7816C-4861-4BD7-BB93-C208124D6DA3}">
      <formula1>"Not Processed, No Smelt Catch, Not Sampled, Longfin Smelt, Delta Smelt"</formula1>
    </dataValidation>
    <dataValidation type="list" allowBlank="1" showInputMessage="1" showErrorMessage="1" sqref="K3:K63" xr:uid="{C92FF334-6A7A-4137-B297-E64B885C9D2F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tabSelected="1"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08" t="s">
        <v>36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1</vt:lpstr>
      <vt:lpstr>Survey 2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OcegueraZavala, Jennifer@Wildlife</cp:lastModifiedBy>
  <cp:lastPrinted>2024-05-30T00:07:14Z</cp:lastPrinted>
  <dcterms:created xsi:type="dcterms:W3CDTF">2010-03-26T20:15:02Z</dcterms:created>
  <dcterms:modified xsi:type="dcterms:W3CDTF">2026-04-07T15:53:01Z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