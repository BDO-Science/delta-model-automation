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77262414-F26F-47E2-894B-15C814DD7AE2}" xr6:coauthVersionLast="47" xr6:coauthVersionMax="47" xr10:uidLastSave="{00000000-0000-0000-0000-000000000000}"/>
  <bookViews>
    <workbookView xWindow="-120" yWindow="-120" windowWidth="29040" windowHeight="15720" firstSheet="2" activeTab="6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externalReferences>
    <externalReference r:id="rId10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34" l="1"/>
  <c r="C60" i="34"/>
  <c r="C59" i="34"/>
  <c r="C58" i="34"/>
  <c r="C57" i="34"/>
  <c r="C56" i="34"/>
  <c r="C55" i="34"/>
  <c r="C54" i="34"/>
  <c r="C53" i="34"/>
  <c r="C52" i="34"/>
  <c r="C51" i="34"/>
  <c r="B51" i="34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18" i="34"/>
  <c r="C17" i="34"/>
  <c r="C16" i="34"/>
  <c r="C5" i="34"/>
  <c r="C20" i="34" s="1"/>
  <c r="C4" i="34"/>
  <c r="C19" i="34" s="1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I80" i="35"/>
  <c r="I79" i="35"/>
  <c r="I78" i="35"/>
  <c r="I77" i="35"/>
  <c r="I76" i="35"/>
  <c r="I75" i="35"/>
  <c r="I74" i="35"/>
  <c r="I73" i="35"/>
  <c r="I71" i="35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I71" i="29"/>
  <c r="I73" i="29"/>
  <c r="I74" i="29"/>
  <c r="I75" i="29"/>
  <c r="I76" i="29"/>
  <c r="I77" i="29"/>
  <c r="I78" i="29"/>
  <c r="I79" i="29"/>
  <c r="I80" i="29"/>
  <c r="I80" i="34"/>
  <c r="I79" i="34"/>
  <c r="I78" i="34"/>
  <c r="I77" i="34"/>
  <c r="I76" i="34"/>
  <c r="I75" i="34"/>
  <c r="I74" i="34"/>
  <c r="I73" i="34"/>
  <c r="I71" i="34"/>
  <c r="I73" i="26"/>
  <c r="C6" i="34" l="1"/>
  <c r="C23" i="34"/>
  <c r="I81" i="35"/>
  <c r="C23" i="29"/>
  <c r="C20" i="29"/>
  <c r="C6" i="29"/>
  <c r="I81" i="29"/>
  <c r="I81" i="34"/>
  <c r="C17" i="27"/>
  <c r="C18" i="27"/>
  <c r="I80" i="28"/>
  <c r="I79" i="28"/>
  <c r="I78" i="28"/>
  <c r="I77" i="28"/>
  <c r="I76" i="28"/>
  <c r="I75" i="28"/>
  <c r="I74" i="28"/>
  <c r="I73" i="28"/>
  <c r="I71" i="28"/>
  <c r="I80" i="27"/>
  <c r="I79" i="27"/>
  <c r="I78" i="27"/>
  <c r="I77" i="27"/>
  <c r="I76" i="27"/>
  <c r="I75" i="27"/>
  <c r="I74" i="27"/>
  <c r="I73" i="27"/>
  <c r="I81" i="27" s="1"/>
  <c r="I71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I80" i="26"/>
  <c r="I79" i="26"/>
  <c r="I78" i="26"/>
  <c r="I77" i="26"/>
  <c r="I76" i="26"/>
  <c r="I75" i="26"/>
  <c r="I74" i="26"/>
  <c r="I71" i="26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34" l="1"/>
  <c r="C7" i="34"/>
  <c r="C21" i="34"/>
  <c r="C21" i="29"/>
  <c r="C7" i="29"/>
  <c r="C24" i="29"/>
  <c r="I81" i="25"/>
  <c r="I81" i="26"/>
  <c r="C23" i="27"/>
  <c r="C19" i="27"/>
  <c r="I81" i="28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8" i="34" l="1"/>
  <c r="C9" i="34" s="1"/>
  <c r="C10" i="34" s="1"/>
  <c r="C11" i="34" s="1"/>
  <c r="C12" i="34" s="1"/>
  <c r="C13" i="34" s="1"/>
  <c r="C14" i="34" s="1"/>
  <c r="C15" i="34" s="1"/>
  <c r="C22" i="34"/>
  <c r="C22" i="29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<sst xmlns="http://schemas.openxmlformats.org/spreadsheetml/2006/main" count="1616" uniqueCount="53">
  <si>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</si>
  <si>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</si>
  <si>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</si>
  <si>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</si>
  <si>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</si>
  <si>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</si>
  <si>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</si>
  <si>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</si>
  <si>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</si>
  <si>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</si>
  <si>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</si>
  <si>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</si>
  <si>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</si>
  <si>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</si>
  <si>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</si>
  <si>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</si>
  <si>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</si>
  <si>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</si>
  <si>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</si>
  <si>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</si>
  <si>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</si>
  <si>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</si>
  <si>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</si>
  <si>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</si>
  <si>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</si>
  <si>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</si>
  <si>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</si>
  <si>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</si>
  <si>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</si>
  <si>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</si>
  <si>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</si>
  <si>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</si>
  <si>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</si>
  <si>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</si>
  <si>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</si>
  <si>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</si>
  <si>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</si>
  <si>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</si>
  <si>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</si>
  <si>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</si>
  <si>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</si>
  <si>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</si>
  <si>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</si>
  <si>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</si>
  <si>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</si>
  <si>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</si>
  <si>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</si>
  <si>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</si>
  <si>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</si>
  <si>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</si>
  <si>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through3/10/26</t>
  </si>
  <si>
    <r>
      <t>405</t>
    </r>
    <r>
      <rPr>
        <sz val="15"/>
        <color rgb="FF000000"/>
        <rFont val="Arial"/>
        <family val="2"/>
      </rPr>
      <t>*</t>
    </r>
  </si>
  <si>
    <t>Processing is complete through 4/7/26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</si>
</sst>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  <font>
      <sz val="15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86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  <xf numFmtId="0" fontId="6" fillId="16" borderId="19" xfId="2" applyFont="1" applyFill="1" applyBorder="1" applyAlignment="1">
      <alignment horizontal="center" vertical="center" textRotation="90"/>
    </xf>
    <xf numFmtId="0" fontId="6" fillId="16" borderId="20" xfId="2" applyFont="1" applyFill="1" applyBorder="1" applyAlignment="1">
      <alignment horizontal="center" vertical="center" textRotation="90"/>
    </xf>
    <xf numFmtId="0" fontId="6" fillId="16" borderId="17" xfId="2" applyFont="1" applyFill="1" applyBorder="1" applyAlignment="1">
      <alignment horizontal="center" vertical="center" textRotation="90"/>
    </xf>
    <xf numFmtId="0" fontId="6" fillId="4" borderId="19" xfId="2" applyFont="1" applyFill="1" applyBorder="1" applyAlignment="1">
      <alignment horizontal="center" vertical="center" textRotation="90"/>
    </xf>
    <xf numFmtId="0" fontId="6" fillId="4" borderId="20" xfId="2" applyFont="1" applyFill="1" applyBorder="1" applyAlignment="1">
      <alignment horizontal="center" vertical="center" textRotation="90"/>
    </xf>
    <xf numFmtId="0" fontId="6" fillId="4" borderId="17" xfId="2" applyFont="1" applyFill="1" applyBorder="1" applyAlignment="1">
      <alignment horizontal="center" vertical="center" textRotation="90"/>
    </xf>
    <xf numFmtId="0" fontId="6" fillId="7" borderId="19" xfId="2" applyFont="1" applyFill="1" applyBorder="1" applyAlignment="1">
      <alignment horizontal="center" vertical="center" textRotation="90" wrapText="1"/>
    </xf>
    <xf numFmtId="0" fontId="6" fillId="7" borderId="20" xfId="2" applyFont="1" applyFill="1" applyBorder="1" applyAlignment="1">
      <alignment horizontal="center" vertical="center" textRotation="90" wrapText="1"/>
    </xf>
    <xf numFmtId="0" fontId="6" fillId="7" borderId="17" xfId="2" applyFont="1" applyFill="1" applyBorder="1" applyAlignment="1">
      <alignment horizontal="center" vertical="center" textRotation="90" wrapText="1"/>
    </xf>
    <xf numFmtId="0" fontId="6" fillId="9" borderId="19" xfId="2" applyFont="1" applyFill="1" applyBorder="1" applyAlignment="1">
      <alignment horizontal="center" vertical="center" textRotation="90"/>
    </xf>
    <xf numFmtId="0" fontId="6" fillId="9" borderId="20" xfId="2" applyFont="1" applyFill="1" applyBorder="1" applyAlignment="1">
      <alignment horizontal="center" vertical="center" textRotation="90"/>
    </xf>
    <xf numFmtId="0" fontId="6" fillId="9" borderId="17" xfId="2" applyFont="1" applyFill="1" applyBorder="1" applyAlignment="1">
      <alignment horizontal="center" vertical="center" textRotation="90"/>
    </xf>
    <xf numFmtId="0" fontId="6" fillId="24" borderId="19" xfId="2" applyFont="1" applyFill="1" applyBorder="1" applyAlignment="1">
      <alignment horizontal="center" vertical="center" textRotation="90"/>
    </xf>
    <xf numFmtId="0" fontId="6" fillId="24" borderId="20" xfId="2" applyFont="1" applyFill="1" applyBorder="1" applyAlignment="1">
      <alignment horizontal="center" vertical="center" textRotation="90"/>
    </xf>
    <xf numFmtId="0" fontId="6" fillId="24" borderId="17" xfId="2" applyFont="1" applyFill="1" applyBorder="1" applyAlignment="1">
      <alignment horizontal="center" vertical="center" textRotation="90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Copy%20SLS%20catch%20update.xlsx" TargetMode="External"/><Relationship Id="rId1" Type="http://schemas.openxmlformats.org/officeDocument/2006/relationships/externalLinkPath" Target="Copy%20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0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2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2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2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4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4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5" t="s">
        <v>37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5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5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5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5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5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5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5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5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6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6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6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6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6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7" t="s">
        <v>38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8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8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8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8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8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8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9" t="s">
        <v>32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9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9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9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9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9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9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9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9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9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9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topLeftCell="A44"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58</v>
      </c>
      <c r="Q69" s="45"/>
    </row>
    <row r="70" spans="1:30" ht="15" customHeight="1" x14ac:dyDescent="0.2">
      <c r="H70" s="41" t="s">
        <v>40</v>
      </c>
      <c r="I70" s="14">
        <v>58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22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52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13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4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117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topLeftCell="A43"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1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2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2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2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2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2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2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2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51</v>
      </c>
      <c r="Q69" s="45"/>
    </row>
    <row r="70" spans="1:30" ht="15" customHeight="1" x14ac:dyDescent="0.2">
      <c r="H70" s="41" t="s">
        <v>40</v>
      </c>
      <c r="I70" s="14">
        <v>51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55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19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251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442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topLeftCell="A51" workbookViewId="0">
      <selection activeCell="B10" sqref="B10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0"/>
      <c r="Q8" s="13"/>
    </row>
    <row r="9" spans="1:17" ht="19.5" customHeight="1" thickBot="1" x14ac:dyDescent="0.3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0"/>
      <c r="Q9" s="13"/>
    </row>
    <row r="10" spans="1:17" ht="19.5" customHeight="1" thickBot="1" x14ac:dyDescent="0.3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0"/>
      <c r="Q11" s="13"/>
    </row>
    <row r="12" spans="1:17" ht="19.5" customHeight="1" thickBot="1" x14ac:dyDescent="0.3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0"/>
      <c r="Q12" s="13"/>
    </row>
    <row r="13" spans="1:17" ht="19.5" customHeight="1" thickBot="1" x14ac:dyDescent="0.3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0"/>
      <c r="Q13" s="13"/>
    </row>
    <row r="14" spans="1:17" ht="19.5" customHeight="1" thickBot="1" x14ac:dyDescent="0.3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0"/>
      <c r="Q15" s="13"/>
    </row>
    <row r="16" spans="1:17" ht="19.5" customHeight="1" x14ac:dyDescent="0.25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1" t="s">
        <v>13</v>
      </c>
      <c r="Q16" s="13"/>
    </row>
    <row r="17" spans="1:17" ht="19.5" customHeight="1" x14ac:dyDescent="0.25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2"/>
      <c r="Q17" s="13"/>
    </row>
    <row r="18" spans="1:17" ht="19.5" customHeight="1" x14ac:dyDescent="0.25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2"/>
      <c r="Q18" s="13"/>
    </row>
    <row r="19" spans="1:17" ht="19.5" customHeight="1" x14ac:dyDescent="0.25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2"/>
      <c r="Q19" s="13"/>
    </row>
    <row r="20" spans="1:17" ht="19.5" customHeight="1" x14ac:dyDescent="0.25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2"/>
      <c r="Q20" s="13"/>
    </row>
    <row r="21" spans="1:17" ht="19.5" customHeight="1" x14ac:dyDescent="0.25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2"/>
      <c r="Q21" s="13"/>
    </row>
    <row r="22" spans="1:17" ht="19.5" customHeight="1" x14ac:dyDescent="0.25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2"/>
      <c r="Q22" s="13"/>
    </row>
    <row r="23" spans="1:17" ht="19.5" customHeight="1" x14ac:dyDescent="0.25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2"/>
      <c r="Q23" s="13"/>
    </row>
    <row r="24" spans="1:17" ht="19.5" customHeight="1" thickBot="1" x14ac:dyDescent="0.3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3"/>
      <c r="Q24" s="13"/>
    </row>
    <row r="25" spans="1:17" ht="19.5" customHeight="1" thickBot="1" x14ac:dyDescent="0.3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4" t="s">
        <v>36</v>
      </c>
      <c r="Q25" s="13"/>
    </row>
    <row r="26" spans="1:17" ht="19.5" customHeight="1" thickBot="1" x14ac:dyDescent="0.3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4"/>
      <c r="Q26" s="13"/>
    </row>
    <row r="27" spans="1:17" ht="19.5" customHeight="1" thickBot="1" x14ac:dyDescent="0.3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4"/>
      <c r="Q27" s="13"/>
    </row>
    <row r="28" spans="1:17" ht="19.5" customHeight="1" thickBot="1" x14ac:dyDescent="0.3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5" t="s">
        <v>37</v>
      </c>
      <c r="Q28" s="13"/>
    </row>
    <row r="29" spans="1:17" ht="19.5" customHeight="1" thickBot="1" x14ac:dyDescent="0.3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5"/>
      <c r="Q29" s="13"/>
    </row>
    <row r="30" spans="1:17" ht="19.5" customHeight="1" thickBot="1" x14ac:dyDescent="0.3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5"/>
      <c r="Q30" s="13"/>
    </row>
    <row r="31" spans="1:17" ht="19.5" customHeight="1" thickBot="1" x14ac:dyDescent="0.3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5"/>
      <c r="Q31" s="13"/>
    </row>
    <row r="32" spans="1:17" ht="19.5" customHeight="1" thickBot="1" x14ac:dyDescent="0.3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5"/>
      <c r="Q32" s="13"/>
    </row>
    <row r="33" spans="1:17" ht="19.5" customHeight="1" thickBot="1" x14ac:dyDescent="0.3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5"/>
      <c r="Q33" s="13"/>
    </row>
    <row r="34" spans="1:17" ht="19.5" customHeight="1" thickBot="1" x14ac:dyDescent="0.3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5"/>
      <c r="Q34" s="13"/>
    </row>
    <row r="35" spans="1:17" ht="19.5" customHeight="1" thickBot="1" x14ac:dyDescent="0.3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5"/>
      <c r="Q35" s="13"/>
    </row>
    <row r="36" spans="1:17" ht="19.5" customHeight="1" thickBot="1" x14ac:dyDescent="0.3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5"/>
      <c r="Q36" s="13"/>
    </row>
    <row r="37" spans="1:17" ht="19.5" customHeight="1" thickBot="1" x14ac:dyDescent="0.3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6" t="s">
        <v>16</v>
      </c>
      <c r="Q37" s="13"/>
    </row>
    <row r="38" spans="1:17" ht="19.5" customHeight="1" thickBot="1" x14ac:dyDescent="0.3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6"/>
      <c r="Q38" s="13"/>
    </row>
    <row r="39" spans="1:17" ht="19.5" customHeight="1" thickBot="1" x14ac:dyDescent="0.3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6"/>
      <c r="Q39" s="13"/>
    </row>
    <row r="40" spans="1:17" ht="19.5" customHeight="1" thickBot="1" x14ac:dyDescent="0.3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6"/>
      <c r="Q40" s="13"/>
    </row>
    <row r="41" spans="1:17" ht="19.5" customHeight="1" thickBot="1" x14ac:dyDescent="0.3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6"/>
      <c r="Q41" s="13"/>
    </row>
    <row r="42" spans="1:17" ht="19.5" customHeight="1" x14ac:dyDescent="0.25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8"/>
      <c r="Q43" s="13"/>
    </row>
    <row r="44" spans="1:17" ht="19.5" customHeight="1" x14ac:dyDescent="0.25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8"/>
      <c r="Q44" s="13"/>
    </row>
    <row r="45" spans="1:17" ht="19.5" customHeight="1" x14ac:dyDescent="0.25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8"/>
      <c r="Q45" s="13"/>
    </row>
    <row r="46" spans="1:17" ht="19.5" customHeight="1" x14ac:dyDescent="0.25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8"/>
      <c r="Q46" s="13"/>
    </row>
    <row r="47" spans="1:17" ht="19.5" customHeight="1" x14ac:dyDescent="0.25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9"/>
      <c r="Q52" s="13"/>
    </row>
    <row r="53" spans="1:17" ht="19.5" customHeight="1" thickBot="1" x14ac:dyDescent="0.3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9"/>
      <c r="Q53" s="13"/>
    </row>
    <row r="54" spans="1:17" ht="19.5" customHeight="1" thickBot="1" x14ac:dyDescent="0.3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49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45</v>
      </c>
    </row>
    <row r="71" spans="1:30" ht="15" customHeight="1" x14ac:dyDescent="0.2">
      <c r="H71" s="41" t="s">
        <v>41</v>
      </c>
      <c r="I71" s="46">
        <f>I70/I69</f>
        <v>0.76271186440677963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84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946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78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381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124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9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1651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topLeftCell="A51"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50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H69" s="41" t="s">
        <v>39</v>
      </c>
      <c r="I69" s="14">
        <v>59</v>
      </c>
      <c r="Q69" s="45"/>
    </row>
    <row r="70" spans="1:29" ht="15" customHeight="1" x14ac:dyDescent="0.2">
      <c r="H70" s="41" t="s">
        <v>40</v>
      </c>
      <c r="I70" s="14">
        <v>59</v>
      </c>
    </row>
    <row r="71" spans="1:29" ht="15" customHeight="1" x14ac:dyDescent="0.2">
      <c r="H71" s="41" t="s">
        <v>41</v>
      </c>
      <c r="I71" s="46">
        <f>I70/I69</f>
        <v>1</v>
      </c>
      <c r="J71" s="46"/>
      <c r="Q71" s="29"/>
    </row>
    <row r="72" spans="1:29" ht="15" customHeight="1" x14ac:dyDescent="0.2">
      <c r="Q72" s="29"/>
    </row>
    <row r="73" spans="1:29" ht="15" customHeight="1" x14ac:dyDescent="0.2">
      <c r="H73" s="47" t="s">
        <v>12</v>
      </c>
      <c r="I73" s="43">
        <f>SUM(J3:J15)</f>
        <v>28</v>
      </c>
      <c r="J73" s="47"/>
      <c r="M73" s="43"/>
      <c r="N73" s="43"/>
      <c r="O73" s="43"/>
      <c r="Q73" s="29"/>
    </row>
    <row r="74" spans="1:29" ht="15" customHeight="1" x14ac:dyDescent="0.2">
      <c r="H74" s="47" t="s">
        <v>13</v>
      </c>
      <c r="I74" s="43">
        <f>SUM(J16:J24)</f>
        <v>552</v>
      </c>
      <c r="J74" s="47"/>
      <c r="M74" s="43"/>
      <c r="N74" s="43"/>
      <c r="O74" s="43"/>
      <c r="Q74" s="29"/>
    </row>
    <row r="75" spans="1:29" ht="15" customHeight="1" x14ac:dyDescent="0.2">
      <c r="H75" s="47" t="s">
        <v>14</v>
      </c>
      <c r="I75" s="43">
        <f>SUM(J25:J27)</f>
        <v>2</v>
      </c>
      <c r="J75" s="47"/>
      <c r="M75" s="43"/>
      <c r="N75" s="43"/>
      <c r="O75" s="43"/>
    </row>
    <row r="76" spans="1:29" ht="15" customHeight="1" x14ac:dyDescent="0.2">
      <c r="H76" s="47" t="s">
        <v>15</v>
      </c>
      <c r="I76" s="43">
        <f>SUM(J28:J36)</f>
        <v>1818</v>
      </c>
      <c r="J76" s="47"/>
      <c r="M76" s="43"/>
      <c r="N76" s="43"/>
      <c r="O76" s="43"/>
    </row>
    <row r="77" spans="1:29" ht="15" customHeight="1" x14ac:dyDescent="0.2">
      <c r="H77" s="47" t="s">
        <v>16</v>
      </c>
      <c r="I77" s="43">
        <f>SUM(J37:J41)</f>
        <v>410</v>
      </c>
      <c r="J77" s="47"/>
      <c r="M77" s="43"/>
      <c r="N77" s="43"/>
      <c r="O77" s="43"/>
    </row>
    <row r="78" spans="1:29" x14ac:dyDescent="0.2">
      <c r="H78" s="47" t="s">
        <v>17</v>
      </c>
      <c r="I78" s="43">
        <f>SUM(J42:J49)</f>
        <v>104</v>
      </c>
      <c r="J78" s="47"/>
      <c r="M78" s="43"/>
      <c r="N78" s="43"/>
      <c r="O78" s="43"/>
    </row>
    <row r="79" spans="1:29" x14ac:dyDescent="0.2">
      <c r="H79" s="47" t="s">
        <v>42</v>
      </c>
      <c r="I79" s="43">
        <f>SUM(J50:J51)</f>
        <v>20</v>
      </c>
      <c r="J79" s="47"/>
      <c r="M79" s="43"/>
      <c r="N79" s="43"/>
      <c r="O79" s="43"/>
    </row>
    <row r="80" spans="1:29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2941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tabSelected="1" workbookViewId="0">
      <selection activeCell="Z76" sqref="Z76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f>'[1]Survey 12'!B3</f>
        <v>2026</v>
      </c>
      <c r="C3" s="55">
        <v>5</v>
      </c>
      <c r="D3" s="55">
        <v>306</v>
      </c>
      <c r="E3" s="56">
        <v>46077</v>
      </c>
      <c r="F3" s="334">
        <v>6.9</v>
      </c>
      <c r="G3" s="57">
        <v>74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9</v>
      </c>
      <c r="M3" s="259">
        <v>9</v>
      </c>
      <c r="N3" s="60">
        <v>9</v>
      </c>
      <c r="O3" s="284">
        <v>0</v>
      </c>
      <c r="P3" s="360" t="s">
        <v>35</v>
      </c>
      <c r="Q3" s="13"/>
    </row>
    <row r="4" spans="1:17" ht="19.5" customHeight="1" thickBot="1" x14ac:dyDescent="0.3">
      <c r="A4" s="358"/>
      <c r="B4" s="62">
        <f>B3</f>
        <v>2026</v>
      </c>
      <c r="C4" s="63">
        <f>C3</f>
        <v>5</v>
      </c>
      <c r="D4" s="64">
        <v>308</v>
      </c>
      <c r="E4" s="65">
        <v>46077</v>
      </c>
      <c r="F4" s="70">
        <v>9.1999999999999993</v>
      </c>
      <c r="G4" s="66">
        <v>54</v>
      </c>
      <c r="H4" s="67" t="s">
        <v>18</v>
      </c>
      <c r="I4" s="68" t="s">
        <v>28</v>
      </c>
      <c r="J4" s="66">
        <v>6</v>
      </c>
      <c r="K4" s="64" t="s">
        <v>20</v>
      </c>
      <c r="L4" s="66">
        <v>7</v>
      </c>
      <c r="M4" s="260">
        <v>10</v>
      </c>
      <c r="N4" s="70">
        <v>8.6999999999999993</v>
      </c>
      <c r="O4" s="285">
        <v>1</v>
      </c>
      <c r="P4" s="360"/>
      <c r="Q4" s="13"/>
    </row>
    <row r="5" spans="1:17" ht="19.5" customHeight="1" thickBot="1" x14ac:dyDescent="0.3">
      <c r="A5" s="358"/>
      <c r="B5" s="62">
        <f t="shared" ref="B5:C15" si="0">B4</f>
        <v>2026</v>
      </c>
      <c r="C5" s="63">
        <f t="shared" si="0"/>
        <v>5</v>
      </c>
      <c r="D5" s="62">
        <v>311</v>
      </c>
      <c r="E5" s="72">
        <v>46077</v>
      </c>
      <c r="F5" s="77">
        <v>20.399999999999999</v>
      </c>
      <c r="G5" s="73">
        <v>44</v>
      </c>
      <c r="H5" s="74" t="s">
        <v>18</v>
      </c>
      <c r="I5" s="75" t="s">
        <v>28</v>
      </c>
      <c r="J5" s="73">
        <v>3</v>
      </c>
      <c r="K5" s="62" t="s">
        <v>20</v>
      </c>
      <c r="L5" s="73">
        <v>9</v>
      </c>
      <c r="M5" s="261">
        <v>10</v>
      </c>
      <c r="N5" s="77">
        <v>9.3000000000000007</v>
      </c>
      <c r="O5" s="286">
        <v>0</v>
      </c>
      <c r="P5" s="360"/>
      <c r="Q5" s="13"/>
    </row>
    <row r="6" spans="1:17" ht="19.5" customHeight="1" thickBot="1" x14ac:dyDescent="0.3">
      <c r="A6" s="358"/>
      <c r="B6" s="62">
        <f t="shared" si="0"/>
        <v>2026</v>
      </c>
      <c r="C6" s="63">
        <f t="shared" si="0"/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</v>
      </c>
      <c r="O6" s="286">
        <v>8</v>
      </c>
      <c r="P6" s="360"/>
      <c r="Q6" s="13"/>
    </row>
    <row r="7" spans="1:17" ht="19.5" customHeight="1" thickBot="1" x14ac:dyDescent="0.3">
      <c r="A7" s="358"/>
      <c r="B7" s="62">
        <f t="shared" si="0"/>
        <v>2026</v>
      </c>
      <c r="C7" s="63">
        <f t="shared" si="0"/>
        <v>5</v>
      </c>
      <c r="D7" s="62">
        <v>322</v>
      </c>
      <c r="E7" s="72">
        <v>46077</v>
      </c>
      <c r="F7" s="77">
        <v>19.8</v>
      </c>
      <c r="G7" s="73">
        <v>47</v>
      </c>
      <c r="H7" s="74" t="s">
        <v>18</v>
      </c>
      <c r="I7" s="75" t="s">
        <v>28</v>
      </c>
      <c r="J7" s="73">
        <v>9</v>
      </c>
      <c r="K7" s="62" t="s">
        <v>20</v>
      </c>
      <c r="L7" s="73">
        <v>6</v>
      </c>
      <c r="M7" s="261">
        <v>9</v>
      </c>
      <c r="N7" s="77"/>
      <c r="O7" s="286"/>
      <c r="P7" s="360"/>
      <c r="Q7" s="13"/>
    </row>
    <row r="8" spans="1:17" ht="19.5" customHeight="1" thickBot="1" x14ac:dyDescent="0.3">
      <c r="A8" s="358"/>
      <c r="B8" s="62">
        <f t="shared" si="0"/>
        <v>2026</v>
      </c>
      <c r="C8" s="63">
        <f t="shared" si="0"/>
        <v>5</v>
      </c>
      <c r="D8" s="62">
        <v>323</v>
      </c>
      <c r="E8" s="72">
        <v>46077</v>
      </c>
      <c r="F8" s="77">
        <v>49.6</v>
      </c>
      <c r="G8" s="73">
        <v>24</v>
      </c>
      <c r="H8" s="74" t="s">
        <v>18</v>
      </c>
      <c r="I8" s="75" t="s">
        <v>28</v>
      </c>
      <c r="J8" s="73">
        <v>30</v>
      </c>
      <c r="K8" s="62" t="s">
        <v>20</v>
      </c>
      <c r="L8" s="73">
        <v>6</v>
      </c>
      <c r="M8" s="261">
        <v>11</v>
      </c>
      <c r="N8" s="77"/>
      <c r="O8" s="286"/>
      <c r="P8" s="360"/>
      <c r="Q8" s="13"/>
    </row>
    <row r="9" spans="1:17" ht="19.5" customHeight="1" thickBot="1" x14ac:dyDescent="0.3">
      <c r="A9" s="358"/>
      <c r="B9" s="62">
        <f t="shared" si="0"/>
        <v>2026</v>
      </c>
      <c r="C9" s="63">
        <f t="shared" si="0"/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60"/>
      <c r="Q9" s="13"/>
    </row>
    <row r="10" spans="1:17" ht="19.5" customHeight="1" thickBot="1" x14ac:dyDescent="0.3">
      <c r="A10" s="358"/>
      <c r="B10" s="62">
        <f t="shared" si="0"/>
        <v>2026</v>
      </c>
      <c r="C10" s="63">
        <f t="shared" si="0"/>
        <v>5</v>
      </c>
      <c r="D10" s="62">
        <v>328</v>
      </c>
      <c r="E10" s="72">
        <v>46077</v>
      </c>
      <c r="F10" s="77">
        <v>65.5</v>
      </c>
      <c r="G10" s="73">
        <v>22</v>
      </c>
      <c r="H10" s="74" t="s">
        <v>18</v>
      </c>
      <c r="I10" s="75" t="s">
        <v>28</v>
      </c>
      <c r="J10" s="73">
        <v>58</v>
      </c>
      <c r="K10" s="62" t="s">
        <v>20</v>
      </c>
      <c r="L10" s="73">
        <v>7</v>
      </c>
      <c r="M10" s="261">
        <v>10</v>
      </c>
      <c r="N10" s="77"/>
      <c r="O10" s="286"/>
      <c r="P10" s="360"/>
      <c r="Q10" s="13"/>
    </row>
    <row r="11" spans="1:17" ht="19.5" customHeight="1" thickBot="1" x14ac:dyDescent="0.3">
      <c r="A11" s="358"/>
      <c r="B11" s="62">
        <f t="shared" si="0"/>
        <v>2026</v>
      </c>
      <c r="C11" s="63">
        <f t="shared" si="0"/>
        <v>5</v>
      </c>
      <c r="D11" s="62">
        <v>329</v>
      </c>
      <c r="E11" s="72">
        <v>46077</v>
      </c>
      <c r="F11" s="77">
        <v>9.9</v>
      </c>
      <c r="G11" s="73">
        <v>56</v>
      </c>
      <c r="H11" s="74" t="s">
        <v>18</v>
      </c>
      <c r="I11" s="75" t="s">
        <v>28</v>
      </c>
      <c r="J11" s="73">
        <v>20</v>
      </c>
      <c r="K11" s="62" t="s">
        <v>20</v>
      </c>
      <c r="L11" s="73">
        <v>6</v>
      </c>
      <c r="M11" s="261">
        <v>10</v>
      </c>
      <c r="N11" s="77"/>
      <c r="O11" s="286"/>
      <c r="P11" s="360"/>
      <c r="Q11" s="13"/>
    </row>
    <row r="12" spans="1:17" ht="19.5" customHeight="1" thickBot="1" x14ac:dyDescent="0.3">
      <c r="A12" s="358"/>
      <c r="B12" s="62">
        <f t="shared" si="0"/>
        <v>2026</v>
      </c>
      <c r="C12" s="63">
        <f t="shared" si="0"/>
        <v>5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358"/>
      <c r="B13" s="62">
        <f t="shared" si="0"/>
        <v>2026</v>
      </c>
      <c r="C13" s="63">
        <f t="shared" si="0"/>
        <v>5</v>
      </c>
      <c r="D13" s="62">
        <v>335</v>
      </c>
      <c r="E13" s="72">
        <v>46077</v>
      </c>
      <c r="F13" s="77">
        <v>10.199999999999999</v>
      </c>
      <c r="G13" s="73">
        <v>50</v>
      </c>
      <c r="H13" s="74" t="s">
        <v>18</v>
      </c>
      <c r="I13" s="75" t="s">
        <v>28</v>
      </c>
      <c r="J13" s="73">
        <v>22</v>
      </c>
      <c r="K13" s="62" t="s">
        <v>20</v>
      </c>
      <c r="L13" s="73">
        <v>7</v>
      </c>
      <c r="M13" s="261">
        <v>10</v>
      </c>
      <c r="N13" s="77"/>
      <c r="O13" s="286"/>
      <c r="P13" s="360"/>
      <c r="Q13" s="13"/>
    </row>
    <row r="14" spans="1:17" ht="19.5" customHeight="1" thickBot="1" x14ac:dyDescent="0.3">
      <c r="A14" s="358"/>
      <c r="B14" s="62">
        <f t="shared" si="0"/>
        <v>2026</v>
      </c>
      <c r="C14" s="63">
        <f t="shared" si="0"/>
        <v>5</v>
      </c>
      <c r="D14" s="62">
        <v>336</v>
      </c>
      <c r="E14" s="72">
        <v>46077</v>
      </c>
      <c r="F14" s="77">
        <v>12.2</v>
      </c>
      <c r="G14" s="73">
        <v>55</v>
      </c>
      <c r="H14" s="74" t="s">
        <v>18</v>
      </c>
      <c r="I14" s="75" t="s">
        <v>28</v>
      </c>
      <c r="J14" s="73">
        <v>60</v>
      </c>
      <c r="K14" s="62" t="s">
        <v>20</v>
      </c>
      <c r="L14" s="73">
        <v>6</v>
      </c>
      <c r="M14" s="261">
        <v>12</v>
      </c>
      <c r="N14" s="77"/>
      <c r="O14" s="286"/>
      <c r="P14" s="360"/>
      <c r="Q14" s="13"/>
    </row>
    <row r="15" spans="1:17" ht="19.5" customHeight="1" thickBot="1" x14ac:dyDescent="0.3">
      <c r="A15" s="358"/>
      <c r="B15" s="79">
        <f>B14</f>
        <v>2026</v>
      </c>
      <c r="C15" s="63">
        <f t="shared" si="0"/>
        <v>5</v>
      </c>
      <c r="D15" s="79">
        <v>338</v>
      </c>
      <c r="E15" s="80">
        <v>46076</v>
      </c>
      <c r="F15" s="84">
        <v>40.799999999999997</v>
      </c>
      <c r="G15" s="81">
        <v>31</v>
      </c>
      <c r="H15" s="74" t="s">
        <v>18</v>
      </c>
      <c r="I15" s="82" t="s">
        <v>28</v>
      </c>
      <c r="J15" s="81">
        <v>114</v>
      </c>
      <c r="K15" s="79" t="s">
        <v>20</v>
      </c>
      <c r="L15" s="81">
        <v>6</v>
      </c>
      <c r="M15" s="262">
        <v>14</v>
      </c>
      <c r="N15" s="84"/>
      <c r="O15" s="287"/>
      <c r="P15" s="360"/>
      <c r="Q15" s="13"/>
    </row>
    <row r="16" spans="1:17" ht="19.5" customHeight="1" x14ac:dyDescent="0.25">
      <c r="A16" s="358"/>
      <c r="B16" s="86">
        <f>B15</f>
        <v>2026</v>
      </c>
      <c r="C16" s="87">
        <f>C3</f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43</v>
      </c>
      <c r="P16" s="361" t="s">
        <v>13</v>
      </c>
      <c r="Q16" s="13"/>
    </row>
    <row r="17" spans="1:17" ht="19.5" customHeight="1" x14ac:dyDescent="0.25">
      <c r="A17" s="358"/>
      <c r="B17" s="94">
        <f>B16</f>
        <v>2026</v>
      </c>
      <c r="C17" s="94">
        <f>C3</f>
        <v>5</v>
      </c>
      <c r="D17" s="95">
        <v>342</v>
      </c>
      <c r="E17" s="96">
        <v>46078</v>
      </c>
      <c r="F17" s="336">
        <v>15.6</v>
      </c>
      <c r="G17" s="97">
        <v>37</v>
      </c>
      <c r="H17" s="95" t="s">
        <v>18</v>
      </c>
      <c r="I17" s="98" t="s">
        <v>28</v>
      </c>
      <c r="J17" s="98">
        <v>141</v>
      </c>
      <c r="K17" s="95" t="s">
        <v>20</v>
      </c>
      <c r="L17" s="98">
        <v>6</v>
      </c>
      <c r="M17" s="264">
        <v>10</v>
      </c>
      <c r="N17" s="100">
        <v>7.73</v>
      </c>
      <c r="O17" s="289">
        <v>47</v>
      </c>
      <c r="P17" s="362"/>
      <c r="Q17" s="13"/>
    </row>
    <row r="18" spans="1:17" ht="19.5" customHeight="1" x14ac:dyDescent="0.25">
      <c r="A18" s="358"/>
      <c r="B18" s="94">
        <f t="shared" ref="B18:B19" si="1">B17</f>
        <v>2026</v>
      </c>
      <c r="C18" s="94">
        <f>C3</f>
        <v>5</v>
      </c>
      <c r="D18" s="95">
        <v>343</v>
      </c>
      <c r="E18" s="96">
        <v>46078</v>
      </c>
      <c r="F18" s="336">
        <v>18.899999999999999</v>
      </c>
      <c r="G18" s="97">
        <v>42</v>
      </c>
      <c r="H18" s="95" t="s">
        <v>18</v>
      </c>
      <c r="I18" s="98" t="s">
        <v>28</v>
      </c>
      <c r="J18" s="98">
        <v>181</v>
      </c>
      <c r="K18" s="95" t="s">
        <v>20</v>
      </c>
      <c r="L18" s="98">
        <v>6</v>
      </c>
      <c r="M18" s="264">
        <v>12</v>
      </c>
      <c r="N18" s="100"/>
      <c r="O18" s="289"/>
      <c r="P18" s="362"/>
      <c r="Q18" s="13"/>
    </row>
    <row r="19" spans="1:17" ht="19.5" customHeight="1" x14ac:dyDescent="0.25">
      <c r="A19" s="358"/>
      <c r="B19" s="94">
        <f t="shared" si="1"/>
        <v>2026</v>
      </c>
      <c r="C19" s="94">
        <f>C4</f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2"/>
      <c r="Q19" s="13"/>
    </row>
    <row r="20" spans="1:17" ht="19.5" customHeight="1" x14ac:dyDescent="0.25">
      <c r="A20" s="358"/>
      <c r="B20" s="94">
        <f>B19</f>
        <v>2026</v>
      </c>
      <c r="C20" s="94">
        <f>C5</f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2"/>
      <c r="Q20" s="13"/>
    </row>
    <row r="21" spans="1:17" ht="19.5" customHeight="1" x14ac:dyDescent="0.25">
      <c r="A21" s="358"/>
      <c r="B21" s="102">
        <f>B20</f>
        <v>2026</v>
      </c>
      <c r="C21" s="102">
        <f>C6</f>
        <v>5</v>
      </c>
      <c r="D21" s="103">
        <v>346</v>
      </c>
      <c r="E21" s="96">
        <v>46078</v>
      </c>
      <c r="F21" s="336">
        <v>5</v>
      </c>
      <c r="G21" s="97">
        <v>347</v>
      </c>
      <c r="H21" s="95" t="s">
        <v>18</v>
      </c>
      <c r="I21" s="98" t="s">
        <v>28</v>
      </c>
      <c r="J21" s="98">
        <v>179</v>
      </c>
      <c r="K21" s="95" t="s">
        <v>20</v>
      </c>
      <c r="L21" s="98">
        <v>8</v>
      </c>
      <c r="M21" s="264">
        <v>19</v>
      </c>
      <c r="N21" s="100"/>
      <c r="O21" s="289"/>
      <c r="P21" s="362"/>
      <c r="Q21" s="13"/>
    </row>
    <row r="22" spans="1:17" ht="19.5" customHeight="1" x14ac:dyDescent="0.25">
      <c r="A22" s="358"/>
      <c r="B22" s="104">
        <f t="shared" ref="B22" si="2">B21</f>
        <v>2026</v>
      </c>
      <c r="C22" s="94">
        <f>C7</f>
        <v>5</v>
      </c>
      <c r="D22" s="95">
        <v>347</v>
      </c>
      <c r="E22" s="105">
        <v>46078</v>
      </c>
      <c r="F22" s="337">
        <v>13.5</v>
      </c>
      <c r="G22" s="97">
        <v>60</v>
      </c>
      <c r="H22" s="95" t="s">
        <v>18</v>
      </c>
      <c r="I22" s="98" t="s">
        <v>28</v>
      </c>
      <c r="J22" s="98">
        <v>1</v>
      </c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f>B22</f>
        <v>2026</v>
      </c>
      <c r="C23" s="106">
        <f>C5</f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2"/>
      <c r="Q23" s="13"/>
    </row>
    <row r="24" spans="1:17" ht="19.5" customHeight="1" thickBot="1" x14ac:dyDescent="0.3">
      <c r="A24" s="358"/>
      <c r="B24" s="110">
        <f>B23</f>
        <v>2026</v>
      </c>
      <c r="C24" s="102">
        <f>C6</f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f>B24</f>
        <v>2026</v>
      </c>
      <c r="C25" s="119">
        <f>C3</f>
        <v>5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f t="shared" ref="B26:B61" si="3">B25</f>
        <v>2026</v>
      </c>
      <c r="C26" s="126">
        <f>C3</f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64"/>
      <c r="Q26" s="13"/>
    </row>
    <row r="27" spans="1:17" ht="19.5" customHeight="1" thickBot="1" x14ac:dyDescent="0.3">
      <c r="A27" s="358"/>
      <c r="B27" s="133">
        <f t="shared" si="3"/>
        <v>2026</v>
      </c>
      <c r="C27" s="133">
        <f>C3</f>
        <v>5</v>
      </c>
      <c r="D27" s="134" t="s">
        <v>51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64"/>
      <c r="Q27" s="13"/>
    </row>
    <row r="28" spans="1:17" ht="19.5" customHeight="1" thickBot="1" x14ac:dyDescent="0.3">
      <c r="A28" s="358"/>
      <c r="B28" s="140">
        <f t="shared" si="3"/>
        <v>2026</v>
      </c>
      <c r="C28" s="140">
        <f>C3</f>
        <v>5</v>
      </c>
      <c r="D28" s="141">
        <v>411</v>
      </c>
      <c r="E28" s="142">
        <v>46078</v>
      </c>
      <c r="F28" s="145">
        <v>14.8</v>
      </c>
      <c r="G28" s="143">
        <v>42</v>
      </c>
      <c r="H28" s="141" t="s">
        <v>18</v>
      </c>
      <c r="I28" s="143" t="s">
        <v>28</v>
      </c>
      <c r="J28" s="143">
        <v>134</v>
      </c>
      <c r="K28" s="141" t="s">
        <v>20</v>
      </c>
      <c r="L28" s="143">
        <v>6</v>
      </c>
      <c r="M28" s="269">
        <v>12</v>
      </c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f t="shared" si="3"/>
        <v>2026</v>
      </c>
      <c r="C29" s="147">
        <f>C3</f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5"/>
      <c r="Q29" s="13"/>
    </row>
    <row r="30" spans="1:17" ht="19.5" customHeight="1" thickBot="1" x14ac:dyDescent="0.3">
      <c r="A30" s="358"/>
      <c r="B30" s="147">
        <f t="shared" si="3"/>
        <v>2026</v>
      </c>
      <c r="C30" s="147">
        <f>C3</f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5"/>
      <c r="Q30" s="13"/>
    </row>
    <row r="31" spans="1:17" ht="19.5" customHeight="1" thickBot="1" x14ac:dyDescent="0.3">
      <c r="A31" s="358"/>
      <c r="B31" s="147">
        <f t="shared" si="3"/>
        <v>2026</v>
      </c>
      <c r="C31" s="147">
        <f>C3</f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65"/>
      <c r="Q31" s="13"/>
    </row>
    <row r="32" spans="1:17" ht="19.5" customHeight="1" thickBot="1" x14ac:dyDescent="0.3">
      <c r="A32" s="358"/>
      <c r="B32" s="147">
        <f t="shared" si="3"/>
        <v>2026</v>
      </c>
      <c r="C32" s="147">
        <f>C3</f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5"/>
      <c r="Q32" s="13"/>
    </row>
    <row r="33" spans="1:17" ht="19.5" customHeight="1" thickBot="1" x14ac:dyDescent="0.3">
      <c r="A33" s="358"/>
      <c r="B33" s="147">
        <f t="shared" si="3"/>
        <v>2026</v>
      </c>
      <c r="C33" s="147">
        <f>C3</f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65"/>
      <c r="Q33" s="13"/>
    </row>
    <row r="34" spans="1:17" ht="19.5" customHeight="1" thickBot="1" x14ac:dyDescent="0.3">
      <c r="A34" s="358"/>
      <c r="B34" s="147">
        <f t="shared" si="3"/>
        <v>2026</v>
      </c>
      <c r="C34" s="147">
        <f>C3</f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5"/>
      <c r="Q34" s="13"/>
    </row>
    <row r="35" spans="1:17" ht="19.5" customHeight="1" thickBot="1" x14ac:dyDescent="0.3">
      <c r="A35" s="358"/>
      <c r="B35" s="147">
        <f t="shared" si="3"/>
        <v>2026</v>
      </c>
      <c r="C35" s="147">
        <f>C3</f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f t="shared" si="3"/>
        <v>2026</v>
      </c>
      <c r="C36" s="157">
        <f>C3</f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358"/>
      <c r="B37" s="165">
        <f t="shared" si="3"/>
        <v>2026</v>
      </c>
      <c r="C37" s="166">
        <f>C3</f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6" t="s">
        <v>16</v>
      </c>
      <c r="Q37" s="13"/>
    </row>
    <row r="38" spans="1:17" ht="19.5" customHeight="1" thickBot="1" x14ac:dyDescent="0.3">
      <c r="A38" s="358"/>
      <c r="B38" s="174">
        <f t="shared" si="3"/>
        <v>2026</v>
      </c>
      <c r="C38" s="166">
        <f>C3</f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6"/>
      <c r="Q38" s="13"/>
    </row>
    <row r="39" spans="1:17" ht="19.5" customHeight="1" thickBot="1" x14ac:dyDescent="0.3">
      <c r="A39" s="358"/>
      <c r="B39" s="174">
        <f t="shared" si="3"/>
        <v>2026</v>
      </c>
      <c r="C39" s="166">
        <f>C3</f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6"/>
      <c r="Q39" s="13"/>
    </row>
    <row r="40" spans="1:17" ht="19.5" customHeight="1" thickBot="1" x14ac:dyDescent="0.3">
      <c r="A40" s="358"/>
      <c r="B40" s="174">
        <f t="shared" si="3"/>
        <v>2026</v>
      </c>
      <c r="C40" s="166">
        <f>C3</f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f t="shared" si="3"/>
        <v>2026</v>
      </c>
      <c r="C41" s="183">
        <f>C3</f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f t="shared" si="3"/>
        <v>2026</v>
      </c>
      <c r="C42" s="192">
        <f>C3</f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7" t="s">
        <v>38</v>
      </c>
      <c r="Q42" s="13"/>
    </row>
    <row r="43" spans="1:17" ht="19.5" customHeight="1" x14ac:dyDescent="0.25">
      <c r="A43" s="358"/>
      <c r="B43" s="201">
        <f t="shared" si="3"/>
        <v>2026</v>
      </c>
      <c r="C43" s="202">
        <f>C3</f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68"/>
      <c r="Q43" s="13"/>
    </row>
    <row r="44" spans="1:17" ht="19.5" customHeight="1" x14ac:dyDescent="0.25">
      <c r="A44" s="358"/>
      <c r="B44" s="201">
        <f t="shared" si="3"/>
        <v>2026</v>
      </c>
      <c r="C44" s="202">
        <f>C3</f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68"/>
      <c r="Q44" s="13"/>
    </row>
    <row r="45" spans="1:17" ht="19.5" customHeight="1" x14ac:dyDescent="0.25">
      <c r="A45" s="358"/>
      <c r="B45" s="201">
        <f t="shared" si="3"/>
        <v>2026</v>
      </c>
      <c r="C45" s="202">
        <f>C3</f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68"/>
      <c r="Q45" s="13"/>
    </row>
    <row r="46" spans="1:17" ht="19.5" customHeight="1" x14ac:dyDescent="0.25">
      <c r="A46" s="358"/>
      <c r="B46" s="201">
        <f t="shared" si="3"/>
        <v>2026</v>
      </c>
      <c r="C46" s="202">
        <f>C3</f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68"/>
      <c r="Q46" s="13"/>
    </row>
    <row r="47" spans="1:17" ht="19.5" customHeight="1" x14ac:dyDescent="0.25">
      <c r="A47" s="358"/>
      <c r="B47" s="201">
        <f t="shared" si="3"/>
        <v>2026</v>
      </c>
      <c r="C47" s="202">
        <f>C3</f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f t="shared" si="3"/>
        <v>2026</v>
      </c>
      <c r="C48" s="210">
        <f>C3</f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68"/>
      <c r="Q48" s="13"/>
    </row>
    <row r="49" spans="1:17" ht="19.5" customHeight="1" thickBot="1" x14ac:dyDescent="0.3">
      <c r="A49" s="358"/>
      <c r="B49" s="201">
        <f t="shared" si="3"/>
        <v>2026</v>
      </c>
      <c r="C49" s="202">
        <f>C3</f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f>C3</f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59" t="s">
        <v>32</v>
      </c>
      <c r="Q50" s="13"/>
    </row>
    <row r="51" spans="1:17" ht="19.5" customHeight="1" thickBot="1" x14ac:dyDescent="0.3">
      <c r="A51" s="358"/>
      <c r="B51" s="230">
        <f t="shared" si="3"/>
        <v>2026</v>
      </c>
      <c r="C51" s="231">
        <f>C3</f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358"/>
      <c r="B52" s="239">
        <f t="shared" si="3"/>
        <v>2026</v>
      </c>
      <c r="C52" s="240">
        <f>C3</f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358"/>
      <c r="B53" s="239">
        <f t="shared" si="3"/>
        <v>2026</v>
      </c>
      <c r="C53" s="240">
        <f>C3</f>
        <v>5</v>
      </c>
      <c r="D53" s="241" t="s">
        <v>25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f t="shared" si="3"/>
        <v>2026</v>
      </c>
      <c r="C54" s="240">
        <f>C3</f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f t="shared" si="3"/>
        <v>2026</v>
      </c>
      <c r="C55" s="240">
        <f>C3</f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f t="shared" si="3"/>
        <v>2026</v>
      </c>
      <c r="C56" s="240">
        <f>C3</f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f t="shared" si="3"/>
        <v>2026</v>
      </c>
      <c r="C57" s="240">
        <f>C3</f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f t="shared" si="3"/>
        <v>2026</v>
      </c>
      <c r="C58" s="240">
        <f>C3</f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f t="shared" si="3"/>
        <v>2026</v>
      </c>
      <c r="C59" s="240">
        <f>C3</f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f t="shared" si="3"/>
        <v>2026</v>
      </c>
      <c r="C60" s="240">
        <f>C3</f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f t="shared" si="3"/>
        <v>2026</v>
      </c>
      <c r="C61" s="251">
        <f>C3</f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52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43</v>
      </c>
    </row>
    <row r="71" spans="1:30" ht="15" customHeight="1" x14ac:dyDescent="0.2">
      <c r="H71" s="41" t="s">
        <v>41</v>
      </c>
      <c r="I71" s="46">
        <f>I70/I69</f>
        <v>0.72881355932203384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430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845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118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445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55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25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4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K80" s="43"/>
      <c r="M80" s="43"/>
      <c r="N80" s="43"/>
      <c r="O80" s="43"/>
    </row>
    <row r="81" spans="9:15" x14ac:dyDescent="0.2">
      <c r="I81" s="43">
        <f>SUM(I73:I80)</f>
        <v>1922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D5A276C1-CBDF-4C35-8639-189A1F29CDF6}">
      <formula1>"No Smelt Catch, Longfin Smelt, Delta Smelt"</formula1>
    </dataValidation>
    <dataValidation type="list" allowBlank="1" showInputMessage="1" showErrorMessage="1" sqref="K3:K61" xr:uid="{C6E367B0-0C9A-48BC-9311-5F8BFB82FD26}">
      <formula1>"Completed, Preliminary "</formula1>
    </dataValidation>
    <dataValidation type="list" allowBlank="1" showInputMessage="1" showErrorMessage="1" sqref="H3:H61" xr:uid="{95998628-3DB6-43D6-9EA2-FA9EF5DA1378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1"/>
  <sheetViews>
    <sheetView workbookViewId="0">
      <selection activeCell="V1" sqref="V1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x14ac:dyDescent="0.25">
      <c r="A3" s="358"/>
      <c r="B3" s="55">
        <v>2026</v>
      </c>
      <c r="C3" s="55">
        <v>6</v>
      </c>
      <c r="D3" s="55">
        <v>306</v>
      </c>
      <c r="E3" s="56">
        <v>46091</v>
      </c>
      <c r="F3" s="334">
        <v>5.7</v>
      </c>
      <c r="G3" s="57">
        <v>107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80" t="s">
        <v>35</v>
      </c>
      <c r="Q3" s="13"/>
    </row>
    <row r="4" spans="1:17" ht="19.5" customHeight="1" x14ac:dyDescent="0.25">
      <c r="A4" s="358"/>
      <c r="B4" s="62">
        <v>2026</v>
      </c>
      <c r="C4" s="63">
        <v>6</v>
      </c>
      <c r="D4" s="64">
        <v>308</v>
      </c>
      <c r="E4" s="65">
        <v>46091</v>
      </c>
      <c r="F4" s="70">
        <v>6.4</v>
      </c>
      <c r="G4" s="66">
        <v>98</v>
      </c>
      <c r="H4" s="67" t="s">
        <v>18</v>
      </c>
      <c r="I4" s="68" t="s">
        <v>28</v>
      </c>
      <c r="J4" s="66">
        <v>2</v>
      </c>
      <c r="K4" s="64" t="s">
        <v>20</v>
      </c>
      <c r="L4" s="66">
        <v>7</v>
      </c>
      <c r="M4" s="260">
        <v>7</v>
      </c>
      <c r="N4" s="70">
        <v>7</v>
      </c>
      <c r="O4" s="285">
        <v>1</v>
      </c>
      <c r="P4" s="381"/>
      <c r="Q4" s="13"/>
    </row>
    <row r="5" spans="1:17" ht="19.5" customHeight="1" x14ac:dyDescent="0.25">
      <c r="A5" s="358"/>
      <c r="B5" s="62">
        <v>2026</v>
      </c>
      <c r="C5" s="63">
        <v>6</v>
      </c>
      <c r="D5" s="62">
        <v>311</v>
      </c>
      <c r="E5" s="72">
        <v>46091</v>
      </c>
      <c r="F5" s="77">
        <v>8</v>
      </c>
      <c r="G5" s="73">
        <v>74</v>
      </c>
      <c r="H5" s="74" t="s">
        <v>18</v>
      </c>
      <c r="I5" s="75" t="s">
        <v>28</v>
      </c>
      <c r="J5" s="73">
        <v>1</v>
      </c>
      <c r="K5" s="62" t="s">
        <v>20</v>
      </c>
      <c r="L5" s="73">
        <v>8</v>
      </c>
      <c r="M5" s="261">
        <v>8</v>
      </c>
      <c r="N5" s="77">
        <v>8</v>
      </c>
      <c r="O5" s="286">
        <v>1</v>
      </c>
      <c r="P5" s="381"/>
      <c r="Q5" s="13"/>
    </row>
    <row r="6" spans="1:17" ht="19.5" customHeight="1" x14ac:dyDescent="0.25">
      <c r="A6" s="358"/>
      <c r="B6" s="62">
        <v>2026</v>
      </c>
      <c r="C6" s="63">
        <v>6</v>
      </c>
      <c r="D6" s="62">
        <v>315</v>
      </c>
      <c r="E6" s="72">
        <v>46091</v>
      </c>
      <c r="F6" s="77">
        <v>8.5</v>
      </c>
      <c r="G6" s="73">
        <v>99</v>
      </c>
      <c r="H6" s="74" t="s">
        <v>18</v>
      </c>
      <c r="I6" s="75" t="s">
        <v>28</v>
      </c>
      <c r="J6" s="73">
        <v>2</v>
      </c>
      <c r="K6" s="62" t="s">
        <v>20</v>
      </c>
      <c r="L6" s="73">
        <v>8</v>
      </c>
      <c r="M6" s="261">
        <v>10</v>
      </c>
      <c r="N6" s="77">
        <v>9</v>
      </c>
      <c r="O6" s="286">
        <v>1</v>
      </c>
      <c r="P6" s="381"/>
      <c r="Q6" s="13"/>
    </row>
    <row r="7" spans="1:17" ht="19.5" customHeight="1" x14ac:dyDescent="0.25">
      <c r="A7" s="358"/>
      <c r="B7" s="62">
        <v>2026</v>
      </c>
      <c r="C7" s="63">
        <v>6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81"/>
      <c r="Q7" s="13"/>
    </row>
    <row r="8" spans="1:17" ht="19.5" customHeight="1" x14ac:dyDescent="0.25">
      <c r="A8" s="358"/>
      <c r="B8" s="62">
        <v>2026</v>
      </c>
      <c r="C8" s="63">
        <v>6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81"/>
      <c r="Q8" s="13"/>
    </row>
    <row r="9" spans="1:17" ht="19.5" customHeight="1" x14ac:dyDescent="0.25">
      <c r="A9" s="358"/>
      <c r="B9" s="62">
        <v>2026</v>
      </c>
      <c r="C9" s="63">
        <v>6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81"/>
      <c r="Q9" s="13"/>
    </row>
    <row r="10" spans="1:17" ht="19.5" customHeight="1" x14ac:dyDescent="0.25">
      <c r="A10" s="358"/>
      <c r="B10" s="62">
        <v>2026</v>
      </c>
      <c r="C10" s="63">
        <v>6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81"/>
      <c r="Q10" s="13"/>
    </row>
    <row r="11" spans="1:17" ht="19.5" customHeight="1" x14ac:dyDescent="0.25">
      <c r="A11" s="358"/>
      <c r="B11" s="62">
        <v>2026</v>
      </c>
      <c r="C11" s="63">
        <v>6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81"/>
      <c r="Q11" s="13"/>
    </row>
    <row r="12" spans="1:17" ht="19.5" customHeight="1" x14ac:dyDescent="0.25">
      <c r="A12" s="358"/>
      <c r="B12" s="62">
        <v>2026</v>
      </c>
      <c r="C12" s="63">
        <v>6</v>
      </c>
      <c r="D12" s="62">
        <v>330</v>
      </c>
      <c r="E12" s="72">
        <v>46091</v>
      </c>
      <c r="F12" s="77">
        <v>13.7</v>
      </c>
      <c r="G12" s="73">
        <v>62</v>
      </c>
      <c r="H12" s="74" t="s">
        <v>18</v>
      </c>
      <c r="I12" s="75" t="s">
        <v>28</v>
      </c>
      <c r="J12" s="73">
        <v>6</v>
      </c>
      <c r="K12" s="62" t="s">
        <v>20</v>
      </c>
      <c r="L12" s="73">
        <v>7</v>
      </c>
      <c r="M12" s="261">
        <v>10</v>
      </c>
      <c r="N12" s="77">
        <v>8.5</v>
      </c>
      <c r="O12" s="286">
        <v>1</v>
      </c>
      <c r="P12" s="381"/>
      <c r="Q12" s="13"/>
    </row>
    <row r="13" spans="1:17" ht="19.5" customHeight="1" x14ac:dyDescent="0.25">
      <c r="A13" s="358"/>
      <c r="B13" s="62">
        <v>2026</v>
      </c>
      <c r="C13" s="63">
        <v>6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81"/>
      <c r="Q13" s="13"/>
    </row>
    <row r="14" spans="1:17" ht="19.5" customHeight="1" x14ac:dyDescent="0.25">
      <c r="A14" s="358"/>
      <c r="B14" s="62">
        <v>2026</v>
      </c>
      <c r="C14" s="63">
        <v>6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81"/>
      <c r="Q14" s="13"/>
    </row>
    <row r="15" spans="1:17" ht="19.5" customHeight="1" thickBot="1" x14ac:dyDescent="0.3">
      <c r="A15" s="358"/>
      <c r="B15" s="79">
        <v>2026</v>
      </c>
      <c r="C15" s="63">
        <v>6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82"/>
      <c r="Q15" s="13"/>
    </row>
    <row r="16" spans="1:17" ht="19.5" customHeight="1" x14ac:dyDescent="0.25">
      <c r="A16" s="358"/>
      <c r="B16" s="86">
        <v>2026</v>
      </c>
      <c r="C16" s="87">
        <v>6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358"/>
      <c r="B17" s="94">
        <v>2026</v>
      </c>
      <c r="C17" s="94">
        <v>6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v>2026</v>
      </c>
      <c r="C18" s="94">
        <v>6</v>
      </c>
      <c r="D18" s="95">
        <v>343</v>
      </c>
      <c r="E18" s="96"/>
      <c r="F18" s="336"/>
      <c r="G18" s="97"/>
      <c r="H18" s="95"/>
      <c r="I18" s="98"/>
      <c r="J18" s="98"/>
      <c r="K18" s="95"/>
      <c r="L18" s="98"/>
      <c r="M18" s="264"/>
      <c r="N18" s="100"/>
      <c r="O18" s="289"/>
      <c r="P18" s="362"/>
      <c r="Q18" s="13"/>
    </row>
    <row r="19" spans="1:17" ht="19.5" customHeight="1" x14ac:dyDescent="0.25">
      <c r="A19" s="358"/>
      <c r="B19" s="94">
        <v>2026</v>
      </c>
      <c r="C19" s="94">
        <v>6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2"/>
      <c r="Q19" s="13"/>
    </row>
    <row r="20" spans="1:17" ht="19.5" customHeight="1" x14ac:dyDescent="0.25">
      <c r="A20" s="358"/>
      <c r="B20" s="94">
        <v>2026</v>
      </c>
      <c r="C20" s="94">
        <v>6</v>
      </c>
      <c r="D20" s="95">
        <v>345</v>
      </c>
      <c r="E20" s="96">
        <v>46092</v>
      </c>
      <c r="F20" s="336">
        <v>18.2</v>
      </c>
      <c r="G20" s="97">
        <v>51</v>
      </c>
      <c r="H20" s="95" t="s">
        <v>18</v>
      </c>
      <c r="I20" s="98" t="s">
        <v>28</v>
      </c>
      <c r="J20" s="98">
        <v>95</v>
      </c>
      <c r="K20" s="95" t="s">
        <v>20</v>
      </c>
      <c r="L20" s="98">
        <v>7</v>
      </c>
      <c r="M20" s="264">
        <v>18</v>
      </c>
      <c r="N20" s="100"/>
      <c r="O20" s="289"/>
      <c r="P20" s="362"/>
      <c r="Q20" s="13"/>
    </row>
    <row r="21" spans="1:17" ht="19.5" customHeight="1" x14ac:dyDescent="0.25">
      <c r="A21" s="358"/>
      <c r="B21" s="102">
        <v>2026</v>
      </c>
      <c r="C21" s="102">
        <v>6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v>2026</v>
      </c>
      <c r="C22" s="94">
        <v>6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v>2026</v>
      </c>
      <c r="C23" s="106">
        <v>6</v>
      </c>
      <c r="D23" s="107">
        <v>348</v>
      </c>
      <c r="E23" s="96">
        <v>46092</v>
      </c>
      <c r="F23" s="336">
        <v>6.3</v>
      </c>
      <c r="G23" s="97">
        <v>87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358"/>
      <c r="B24" s="110">
        <v>2026</v>
      </c>
      <c r="C24" s="102">
        <v>6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3"/>
      <c r="Q24" s="13"/>
    </row>
    <row r="25" spans="1:17" ht="19.5" customHeight="1" x14ac:dyDescent="0.25">
      <c r="A25" s="358"/>
      <c r="B25" s="118">
        <v>2026</v>
      </c>
      <c r="C25" s="119">
        <v>6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77" t="s">
        <v>36</v>
      </c>
      <c r="Q25" s="13"/>
    </row>
    <row r="26" spans="1:17" ht="19.5" customHeight="1" x14ac:dyDescent="0.25">
      <c r="A26" s="358"/>
      <c r="B26" s="118">
        <v>2026</v>
      </c>
      <c r="C26" s="126">
        <v>6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78"/>
      <c r="Q26" s="13"/>
    </row>
    <row r="27" spans="1:17" ht="19.5" customHeight="1" thickBot="1" x14ac:dyDescent="0.3">
      <c r="A27" s="358"/>
      <c r="B27" s="133">
        <v>2026</v>
      </c>
      <c r="C27" s="133">
        <v>6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79"/>
      <c r="Q27" s="13"/>
    </row>
    <row r="28" spans="1:17" ht="19.5" customHeight="1" x14ac:dyDescent="0.25">
      <c r="A28" s="358"/>
      <c r="B28" s="140">
        <v>2026</v>
      </c>
      <c r="C28" s="140">
        <v>6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74" t="s">
        <v>37</v>
      </c>
      <c r="Q28" s="13"/>
    </row>
    <row r="29" spans="1:17" ht="19.5" customHeight="1" x14ac:dyDescent="0.25">
      <c r="A29" s="358"/>
      <c r="B29" s="147">
        <v>2026</v>
      </c>
      <c r="C29" s="147">
        <v>6</v>
      </c>
      <c r="D29" s="148">
        <v>418</v>
      </c>
      <c r="E29" s="149">
        <v>46090</v>
      </c>
      <c r="F29" s="152">
        <v>32</v>
      </c>
      <c r="G29" s="150">
        <v>25</v>
      </c>
      <c r="H29" s="148" t="s">
        <v>18</v>
      </c>
      <c r="I29" s="150" t="s">
        <v>28</v>
      </c>
      <c r="J29" s="150">
        <v>38</v>
      </c>
      <c r="K29" s="148" t="s">
        <v>20</v>
      </c>
      <c r="L29" s="150">
        <v>6</v>
      </c>
      <c r="M29" s="270">
        <v>11</v>
      </c>
      <c r="N29" s="152"/>
      <c r="O29" s="296"/>
      <c r="P29" s="375"/>
      <c r="Q29" s="13"/>
    </row>
    <row r="30" spans="1:17" ht="19.5" customHeight="1" x14ac:dyDescent="0.25">
      <c r="A30" s="358"/>
      <c r="B30" s="147">
        <v>2026</v>
      </c>
      <c r="C30" s="147">
        <v>6</v>
      </c>
      <c r="D30" s="148">
        <v>501</v>
      </c>
      <c r="E30" s="154">
        <v>46092</v>
      </c>
      <c r="F30" s="340">
        <v>23</v>
      </c>
      <c r="G30" s="155">
        <v>32</v>
      </c>
      <c r="H30" s="148" t="s">
        <v>18</v>
      </c>
      <c r="I30" s="150" t="s">
        <v>28</v>
      </c>
      <c r="J30" s="150">
        <v>28</v>
      </c>
      <c r="K30" s="148" t="s">
        <v>20</v>
      </c>
      <c r="L30" s="150">
        <v>6</v>
      </c>
      <c r="M30" s="270">
        <v>14</v>
      </c>
      <c r="N30" s="152"/>
      <c r="O30" s="296"/>
      <c r="P30" s="375"/>
      <c r="Q30" s="13"/>
    </row>
    <row r="31" spans="1:17" ht="19.5" customHeight="1" x14ac:dyDescent="0.25">
      <c r="A31" s="358"/>
      <c r="B31" s="147">
        <v>2026</v>
      </c>
      <c r="C31" s="147">
        <v>6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75"/>
      <c r="Q31" s="13"/>
    </row>
    <row r="32" spans="1:17" ht="19.5" customHeight="1" x14ac:dyDescent="0.25">
      <c r="A32" s="358"/>
      <c r="B32" s="147">
        <v>2026</v>
      </c>
      <c r="C32" s="147">
        <v>6</v>
      </c>
      <c r="D32" s="148">
        <v>519</v>
      </c>
      <c r="E32" s="149">
        <v>46092</v>
      </c>
      <c r="F32" s="152">
        <v>25.5</v>
      </c>
      <c r="G32" s="150">
        <v>29</v>
      </c>
      <c r="H32" s="148" t="s">
        <v>18</v>
      </c>
      <c r="I32" s="150" t="s">
        <v>28</v>
      </c>
      <c r="J32" s="150">
        <v>23</v>
      </c>
      <c r="K32" s="148" t="s">
        <v>20</v>
      </c>
      <c r="L32" s="150">
        <v>6</v>
      </c>
      <c r="M32" s="270">
        <v>16</v>
      </c>
      <c r="N32" s="152">
        <v>8.3913043478260896</v>
      </c>
      <c r="O32" s="296">
        <v>4</v>
      </c>
      <c r="P32" s="375"/>
      <c r="Q32" s="13"/>
    </row>
    <row r="33" spans="1:17" ht="19.5" customHeight="1" x14ac:dyDescent="0.25">
      <c r="A33" s="358"/>
      <c r="B33" s="147">
        <v>2026</v>
      </c>
      <c r="C33" s="147">
        <v>6</v>
      </c>
      <c r="D33" s="148">
        <v>602</v>
      </c>
      <c r="E33" s="154">
        <v>46090</v>
      </c>
      <c r="F33" s="340">
        <v>38.700000000000003</v>
      </c>
      <c r="G33" s="155">
        <v>24</v>
      </c>
      <c r="H33" s="148" t="s">
        <v>18</v>
      </c>
      <c r="I33" s="150" t="s">
        <v>28</v>
      </c>
      <c r="J33" s="150">
        <v>12</v>
      </c>
      <c r="K33" s="148" t="s">
        <v>20</v>
      </c>
      <c r="L33" s="150">
        <v>6</v>
      </c>
      <c r="M33" s="270">
        <v>7</v>
      </c>
      <c r="N33" s="152">
        <v>6.1666666666666696</v>
      </c>
      <c r="O33" s="296">
        <v>12</v>
      </c>
      <c r="P33" s="375"/>
      <c r="Q33" s="13"/>
    </row>
    <row r="34" spans="1:17" ht="19.5" customHeight="1" x14ac:dyDescent="0.25">
      <c r="A34" s="358"/>
      <c r="B34" s="147">
        <v>2026</v>
      </c>
      <c r="C34" s="147">
        <v>6</v>
      </c>
      <c r="D34" s="148">
        <v>606</v>
      </c>
      <c r="E34" s="149">
        <v>46090</v>
      </c>
      <c r="F34" s="152">
        <v>40.299999999999997</v>
      </c>
      <c r="G34" s="150">
        <v>21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7</v>
      </c>
      <c r="N34" s="152">
        <v>6.5</v>
      </c>
      <c r="O34" s="296">
        <v>1</v>
      </c>
      <c r="P34" s="375"/>
      <c r="Q34" s="13"/>
    </row>
    <row r="35" spans="1:17" ht="19.5" customHeight="1" x14ac:dyDescent="0.25">
      <c r="A35" s="358"/>
      <c r="B35" s="147">
        <v>2026</v>
      </c>
      <c r="C35" s="147">
        <v>6</v>
      </c>
      <c r="D35" s="148">
        <v>609</v>
      </c>
      <c r="E35" s="149">
        <v>46090</v>
      </c>
      <c r="F35" s="152">
        <v>35.6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75"/>
      <c r="Q35" s="13"/>
    </row>
    <row r="36" spans="1:17" ht="19.5" customHeight="1" thickBot="1" x14ac:dyDescent="0.3">
      <c r="A36" s="358"/>
      <c r="B36" s="156">
        <v>2026</v>
      </c>
      <c r="C36" s="157">
        <v>6</v>
      </c>
      <c r="D36" s="158">
        <v>610</v>
      </c>
      <c r="E36" s="159">
        <v>46090</v>
      </c>
      <c r="F36" s="341">
        <v>26.6</v>
      </c>
      <c r="G36" s="160">
        <v>26</v>
      </c>
      <c r="H36" s="158" t="s">
        <v>18</v>
      </c>
      <c r="I36" s="161" t="s">
        <v>28</v>
      </c>
      <c r="J36" s="161">
        <v>3</v>
      </c>
      <c r="K36" s="158" t="s">
        <v>20</v>
      </c>
      <c r="L36" s="161">
        <v>7</v>
      </c>
      <c r="M36" s="271">
        <v>7</v>
      </c>
      <c r="N36" s="163">
        <v>7</v>
      </c>
      <c r="O36" s="297">
        <v>0</v>
      </c>
      <c r="P36" s="376"/>
      <c r="Q36" s="13"/>
    </row>
    <row r="37" spans="1:17" ht="19.5" customHeight="1" x14ac:dyDescent="0.25">
      <c r="A37" s="358"/>
      <c r="B37" s="165">
        <v>2026</v>
      </c>
      <c r="C37" s="166">
        <v>6</v>
      </c>
      <c r="D37" s="167">
        <v>508</v>
      </c>
      <c r="E37" s="168">
        <v>46092</v>
      </c>
      <c r="F37" s="342">
        <v>16.600000000000001</v>
      </c>
      <c r="G37" s="169">
        <v>46</v>
      </c>
      <c r="H37" s="170" t="s">
        <v>18</v>
      </c>
      <c r="I37" s="170" t="s">
        <v>28</v>
      </c>
      <c r="J37" s="170">
        <v>6</v>
      </c>
      <c r="K37" s="167" t="s">
        <v>20</v>
      </c>
      <c r="L37" s="170">
        <v>6</v>
      </c>
      <c r="M37" s="272">
        <v>7</v>
      </c>
      <c r="N37" s="172">
        <v>6.6</v>
      </c>
      <c r="O37" s="298">
        <v>5</v>
      </c>
      <c r="P37" s="371" t="s">
        <v>16</v>
      </c>
      <c r="Q37" s="13"/>
    </row>
    <row r="38" spans="1:17" ht="19.5" customHeight="1" x14ac:dyDescent="0.25">
      <c r="A38" s="358"/>
      <c r="B38" s="174">
        <v>2026</v>
      </c>
      <c r="C38" s="166">
        <v>6</v>
      </c>
      <c r="D38" s="175">
        <v>513</v>
      </c>
      <c r="E38" s="176">
        <v>46090</v>
      </c>
      <c r="F38" s="343">
        <v>25.7</v>
      </c>
      <c r="G38" s="177">
        <v>37</v>
      </c>
      <c r="H38" s="178" t="s">
        <v>18</v>
      </c>
      <c r="I38" s="178" t="s">
        <v>28</v>
      </c>
      <c r="J38" s="178">
        <v>6</v>
      </c>
      <c r="K38" s="175" t="s">
        <v>20</v>
      </c>
      <c r="L38" s="178">
        <v>6</v>
      </c>
      <c r="M38" s="273">
        <v>6</v>
      </c>
      <c r="N38" s="180">
        <v>6</v>
      </c>
      <c r="O38" s="299">
        <v>0</v>
      </c>
      <c r="P38" s="372"/>
      <c r="Q38" s="13"/>
    </row>
    <row r="39" spans="1:17" ht="19.5" customHeight="1" x14ac:dyDescent="0.25">
      <c r="A39" s="358"/>
      <c r="B39" s="174">
        <v>2026</v>
      </c>
      <c r="C39" s="166">
        <v>6</v>
      </c>
      <c r="D39" s="175">
        <v>520</v>
      </c>
      <c r="E39" s="176">
        <v>46092</v>
      </c>
      <c r="F39" s="343">
        <v>14</v>
      </c>
      <c r="G39" s="177">
        <v>53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7</v>
      </c>
      <c r="M39" s="273">
        <v>7</v>
      </c>
      <c r="N39" s="180">
        <v>7</v>
      </c>
      <c r="O39" s="299">
        <v>1</v>
      </c>
      <c r="P39" s="372"/>
      <c r="Q39" s="13"/>
    </row>
    <row r="40" spans="1:17" ht="19.5" customHeight="1" x14ac:dyDescent="0.25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72"/>
      <c r="Q40" s="13"/>
    </row>
    <row r="41" spans="1:17" ht="19.5" customHeight="1" thickBot="1" x14ac:dyDescent="0.3">
      <c r="A41" s="358"/>
      <c r="B41" s="182">
        <v>2026</v>
      </c>
      <c r="C41" s="183">
        <v>6</v>
      </c>
      <c r="D41" s="184">
        <v>804</v>
      </c>
      <c r="E41" s="185">
        <v>46090</v>
      </c>
      <c r="F41" s="344">
        <v>22.1</v>
      </c>
      <c r="G41" s="186">
        <v>67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0</v>
      </c>
      <c r="P41" s="373"/>
      <c r="Q41" s="13"/>
    </row>
    <row r="42" spans="1:17" ht="19.5" customHeight="1" x14ac:dyDescent="0.25">
      <c r="A42" s="358"/>
      <c r="B42" s="191">
        <v>2026</v>
      </c>
      <c r="C42" s="192">
        <v>6</v>
      </c>
      <c r="D42" s="193">
        <v>703</v>
      </c>
      <c r="E42" s="194">
        <v>46091</v>
      </c>
      <c r="F42" s="345">
        <v>13.2</v>
      </c>
      <c r="G42" s="195">
        <v>58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358"/>
      <c r="B43" s="201">
        <v>2026</v>
      </c>
      <c r="C43" s="202">
        <v>6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68"/>
      <c r="Q43" s="13"/>
    </row>
    <row r="44" spans="1:17" ht="19.5" customHeight="1" x14ac:dyDescent="0.25">
      <c r="A44" s="358"/>
      <c r="B44" s="201">
        <v>2026</v>
      </c>
      <c r="C44" s="202">
        <v>6</v>
      </c>
      <c r="D44" s="203">
        <v>705</v>
      </c>
      <c r="E44" s="204">
        <v>46091</v>
      </c>
      <c r="F44" s="346">
        <v>11.5</v>
      </c>
      <c r="G44" s="205">
        <v>83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358"/>
      <c r="B45" s="201">
        <v>2026</v>
      </c>
      <c r="C45" s="202">
        <v>6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68"/>
      <c r="Q45" s="13"/>
    </row>
    <row r="46" spans="1:17" ht="19.5" customHeight="1" x14ac:dyDescent="0.25">
      <c r="A46" s="358"/>
      <c r="B46" s="201">
        <v>2026</v>
      </c>
      <c r="C46" s="202">
        <v>6</v>
      </c>
      <c r="D46" s="203">
        <v>707</v>
      </c>
      <c r="E46" s="204">
        <v>46091</v>
      </c>
      <c r="F46" s="346">
        <v>11.3</v>
      </c>
      <c r="G46" s="205">
        <v>72</v>
      </c>
      <c r="H46" s="196" t="s">
        <v>18</v>
      </c>
      <c r="I46" s="206" t="s">
        <v>28</v>
      </c>
      <c r="J46" s="206">
        <v>2</v>
      </c>
      <c r="K46" s="203" t="s">
        <v>20</v>
      </c>
      <c r="L46" s="206">
        <v>6</v>
      </c>
      <c r="M46" s="276">
        <v>6</v>
      </c>
      <c r="N46" s="208">
        <v>6</v>
      </c>
      <c r="O46" s="302">
        <v>2</v>
      </c>
      <c r="P46" s="368"/>
      <c r="Q46" s="13"/>
    </row>
    <row r="47" spans="1:17" ht="19.5" customHeight="1" x14ac:dyDescent="0.25">
      <c r="A47" s="358"/>
      <c r="B47" s="201">
        <v>2026</v>
      </c>
      <c r="C47" s="202">
        <v>6</v>
      </c>
      <c r="D47" s="203">
        <v>711</v>
      </c>
      <c r="E47" s="204"/>
      <c r="F47" s="346"/>
      <c r="G47" s="205"/>
      <c r="H47" s="196"/>
      <c r="I47" s="206"/>
      <c r="J47" s="206"/>
      <c r="K47" s="203"/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68"/>
      <c r="Q48" s="13"/>
    </row>
    <row r="49" spans="1:17" ht="19.5" customHeight="1" thickBot="1" x14ac:dyDescent="0.3">
      <c r="A49" s="358"/>
      <c r="B49" s="201">
        <v>2026</v>
      </c>
      <c r="C49" s="202">
        <v>6</v>
      </c>
      <c r="D49" s="203">
        <v>723</v>
      </c>
      <c r="E49" s="204">
        <v>46091</v>
      </c>
      <c r="F49" s="346">
        <v>10.8</v>
      </c>
      <c r="G49" s="205">
        <v>69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x14ac:dyDescent="0.25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83" t="s">
        <v>32</v>
      </c>
      <c r="Q50" s="13"/>
    </row>
    <row r="51" spans="1:17" ht="19.5" customHeight="1" x14ac:dyDescent="0.25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84"/>
      <c r="Q51" s="13"/>
    </row>
    <row r="52" spans="1:17" ht="19.5" customHeight="1" x14ac:dyDescent="0.25">
      <c r="A52" s="358"/>
      <c r="B52" s="239">
        <v>2026</v>
      </c>
      <c r="C52" s="240">
        <v>6</v>
      </c>
      <c r="D52" s="241">
        <v>815</v>
      </c>
      <c r="E52" s="242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84"/>
      <c r="Q52" s="13"/>
    </row>
    <row r="53" spans="1:17" ht="19.5" customHeight="1" x14ac:dyDescent="0.25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84"/>
      <c r="Q53" s="13"/>
    </row>
    <row r="54" spans="1:17" ht="19.5" customHeight="1" x14ac:dyDescent="0.25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84"/>
      <c r="Q54" s="13"/>
    </row>
    <row r="55" spans="1:17" ht="19.5" customHeight="1" x14ac:dyDescent="0.25">
      <c r="A55" s="358"/>
      <c r="B55" s="239">
        <v>2026</v>
      </c>
      <c r="C55" s="240">
        <v>6</v>
      </c>
      <c r="D55" s="241">
        <v>906</v>
      </c>
      <c r="E55" s="249">
        <v>46090</v>
      </c>
      <c r="F55" s="351"/>
      <c r="G55" s="243">
        <v>140</v>
      </c>
      <c r="H55" s="244"/>
      <c r="I55" s="245"/>
      <c r="J55" s="245"/>
      <c r="K55" s="241"/>
      <c r="L55" s="245"/>
      <c r="M55" s="282"/>
      <c r="N55" s="247"/>
      <c r="O55" s="307"/>
      <c r="P55" s="384"/>
      <c r="Q55" s="13"/>
    </row>
    <row r="56" spans="1:17" ht="19.5" customHeight="1" x14ac:dyDescent="0.25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84"/>
      <c r="Q56" s="13"/>
    </row>
    <row r="57" spans="1:17" ht="19.5" customHeight="1" x14ac:dyDescent="0.25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84"/>
      <c r="Q57" s="13"/>
    </row>
    <row r="58" spans="1:17" ht="19.5" customHeight="1" x14ac:dyDescent="0.25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84"/>
      <c r="Q58" s="13"/>
    </row>
    <row r="59" spans="1:17" ht="19.5" customHeight="1" x14ac:dyDescent="0.25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84"/>
      <c r="Q59" s="13"/>
    </row>
    <row r="60" spans="1:17" ht="19.5" customHeight="1" x14ac:dyDescent="0.25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84"/>
      <c r="Q60" s="13"/>
    </row>
    <row r="61" spans="1:17" ht="19.5" customHeight="1" thickBot="1" x14ac:dyDescent="0.3">
      <c r="A61" s="358"/>
      <c r="B61" s="250">
        <v>2026</v>
      </c>
      <c r="C61" s="251">
        <v>6</v>
      </c>
      <c r="D61" s="252">
        <v>919</v>
      </c>
      <c r="E61" s="253">
        <v>46090</v>
      </c>
      <c r="F61" s="352">
        <v>8.1999999999999993</v>
      </c>
      <c r="G61" s="254">
        <v>117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85"/>
      <c r="Q61" s="13"/>
    </row>
    <row r="62" spans="1:17" ht="19.5" customHeight="1" x14ac:dyDescent="0.25">
      <c r="A62" s="358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52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27</v>
      </c>
    </row>
    <row r="71" spans="1:30" ht="15" customHeight="1" x14ac:dyDescent="0.2">
      <c r="H71" s="41" t="s">
        <v>41</v>
      </c>
      <c r="I71" s="46">
        <f>I70/I69</f>
        <v>0.4576271186440678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11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95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106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23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3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1</v>
      </c>
      <c r="J80" s="47"/>
      <c r="K80" s="43"/>
      <c r="M80" s="43"/>
      <c r="N80" s="43"/>
      <c r="O80" s="43"/>
    </row>
    <row r="81" spans="9:15" x14ac:dyDescent="0.2">
      <c r="I81" s="43">
        <f>SUM(I73:I80)</f>
        <v>241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6CCD6C3C-F15B-4D5E-AB71-737ACD81630C}">
      <formula1>"Not Processed, Not Sampled, Processed"</formula1>
    </dataValidation>
    <dataValidation type="list" allowBlank="1" showInputMessage="1" showErrorMessage="1" sqref="K3:K61" xr:uid="{D4B4B0B7-A599-43B1-9CF1-8BEF959224AC}">
      <formula1>"Completed, Preliminary "</formula1>
    </dataValidation>
    <dataValidation type="list" allowBlank="1" showInputMessage="1" showErrorMessage="1" sqref="I3:I61" xr:uid="{8CB03CCA-2B1F-4B0D-8451-9B490E7227D2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5" x14ac:dyDescent="0.25"/>
  <sheetData>
    <row r="1" spans="1:14" ht="25.5" x14ac:dyDescent="0.35">
      <c r="A1" s="370" t="s">
        <v>44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2026-04-07T15:57:51Z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