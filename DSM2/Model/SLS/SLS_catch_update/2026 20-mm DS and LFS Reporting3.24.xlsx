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NativeFish\Data Reporting\20-mm Catch Summaries\2026\"/>
    </mc:Choice>
  </mc:AlternateContent>
  <xr:revisionPtr revIDLastSave="0" documentId="13_ncr:1_{0F4A2D6E-E517-4A5D-957F-ED344B55E663}" xr6:coauthVersionLast="47" xr6:coauthVersionMax="47" xr10:uidLastSave="{00000000-0000-0000-0000-000000000000}"/>
  <bookViews>
    <workbookView xWindow="28680" yWindow="-120" windowWidth="29040" windowHeight="15720" tabRatio="844" xr2:uid="{FADF9BD8-084D-4A05-925F-CF581A2A38ED}"/>
  </bookViews>
  <sheets>
    <sheet name="Survey 1" sheetId="52" r:id="rId1"/>
    <sheet name="20-mm Map" sheetId="72" r:id="rId2"/>
  </sheets>
  <definedNames>
    <definedName name="_xlnm._FilterDatabase" localSheetId="0" hidden="1">'Survey 1'!$H$1:$H$83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2" l="1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J73" i="52" l="1"/>
  <c r="J75" i="52"/>
  <c r="J76" i="52"/>
  <c r="J77" i="52"/>
  <c r="J78" i="52"/>
  <c r="J79" i="52"/>
  <c r="J80" i="52"/>
  <c r="J81" i="52"/>
  <c r="J82" i="52"/>
  <c r="J83" i="52" l="1"/>
  <c r="C63" i="52" l="1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18" i="52"/>
  <c r="C17" i="52"/>
  <c r="C16" i="52"/>
  <c r="C4" i="52"/>
  <c r="C19" i="52" s="1"/>
  <c r="C5" i="52" l="1"/>
  <c r="C6" i="52" s="1"/>
  <c r="C7" i="52" s="1"/>
  <c r="C8" i="52" s="1"/>
  <c r="C9" i="52" s="1"/>
  <c r="C10" i="52" s="1"/>
  <c r="C11" i="52" s="1"/>
  <c r="C12" i="52" s="1"/>
  <c r="C13" i="52" s="1"/>
  <c r="C14" i="52" s="1"/>
  <c r="C15" i="52" s="1"/>
  <c r="C20" i="52"/>
  <c r="C21" i="52" l="1"/>
</calcChain>
</file>

<file path=xl/sharedStrings.xml><?xml version="1.0" encoding="utf-8"?>
<sst xmlns="http://schemas.openxmlformats.org/spreadsheetml/2006/main" count="51" uniqueCount="38">
  <si>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</si>
  <si>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</si>
  <si>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</si>
  <si>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</si>
  <si>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</si>
  <si>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</si>
  <si>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</si>
  <si>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</si>
  <si>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</si>
  <si>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</si>
  <si>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</si>
  <si>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</si>
  <si>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</si>
  <si>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Num tows:</t>
  </si>
  <si>
    <t>Processed tows:</t>
  </si>
  <si>
    <t>% Complete</t>
  </si>
  <si>
    <t>ID Status</t>
  </si>
  <si>
    <t>Secchi (CM)</t>
  </si>
  <si>
    <t>Napa River</t>
  </si>
  <si>
    <t>Carquinez Strait</t>
  </si>
  <si>
    <t>San pablo</t>
  </si>
  <si>
    <t>carquinez strait</t>
  </si>
  <si>
    <t>Suisun bay and Marsh</t>
  </si>
  <si>
    <t>Sac River system</t>
  </si>
  <si>
    <t>Central &amp; south</t>
  </si>
  <si>
    <t>San Pablo Bay</t>
  </si>
  <si>
    <t>Suisun Bay &amp; Marsh</t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</si>
  <si>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</si>
  <si>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</si>
  <si>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</si>
  <si>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t>809+ 812</t>
  </si>
  <si>
    <t>Longfin Smelt</t>
  </si>
  <si>
    <t>Complete</t>
  </si>
  <si>
    <t>No Smelt Catch</t>
  </si>
  <si>
    <t>Not Sampled</t>
  </si>
  <si>
    <t>Turbidity (FNU)</t>
  </si>
  <si>
    <t>CDFW's 2025 20-mm Station Map</t>
  </si>
  <si>
    <t>Processing is complete through 3/24/26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</si>
</sst>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0.0%"/>
    <numFmt numFmtId="166" formatCode="0.0"/>
    <numFmt numFmtId="167" formatCode="m/d/yy;@"/>
  </numFmts>
  <fonts count="10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1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27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10" borderId="1" xfId="0" applyNumberForma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10" borderId="0" xfId="0" applyFont="1" applyFill="1" applyAlignment="1">
      <alignment horizontal="center"/>
    </xf>
    <xf numFmtId="1" fontId="3" fillId="10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7" fillId="10" borderId="0" xfId="0" applyFont="1" applyFill="1"/>
    <xf numFmtId="0" fontId="7" fillId="10" borderId="0" xfId="0" applyFont="1" applyFill="1" applyAlignment="1">
      <alignment horizontal="center" vertical="center"/>
    </xf>
    <xf numFmtId="167" fontId="7" fillId="21" borderId="16" xfId="0" applyNumberFormat="1" applyFont="1" applyFill="1" applyBorder="1" applyAlignment="1">
      <alignment horizontal="center" wrapText="1"/>
    </xf>
    <xf numFmtId="1" fontId="7" fillId="21" borderId="16" xfId="0" applyNumberFormat="1" applyFont="1" applyFill="1" applyBorder="1" applyAlignment="1">
      <alignment horizontal="center" wrapText="1"/>
    </xf>
    <xf numFmtId="0" fontId="7" fillId="21" borderId="16" xfId="0" applyFont="1" applyFill="1" applyBorder="1" applyAlignment="1">
      <alignment horizontal="center" wrapText="1"/>
    </xf>
    <xf numFmtId="0" fontId="7" fillId="22" borderId="16" xfId="0" applyFont="1" applyFill="1" applyBorder="1" applyAlignment="1">
      <alignment horizontal="center"/>
    </xf>
    <xf numFmtId="1" fontId="7" fillId="22" borderId="16" xfId="0" applyNumberFormat="1" applyFont="1" applyFill="1" applyBorder="1" applyAlignment="1">
      <alignment horizontal="center"/>
    </xf>
    <xf numFmtId="0" fontId="7" fillId="22" borderId="31" xfId="0" applyFont="1" applyFill="1" applyBorder="1" applyAlignment="1">
      <alignment horizontal="center"/>
    </xf>
    <xf numFmtId="0" fontId="7" fillId="22" borderId="17" xfId="0" applyFont="1" applyFill="1" applyBorder="1" applyAlignment="1">
      <alignment horizontal="center"/>
    </xf>
    <xf numFmtId="166" fontId="7" fillId="22" borderId="24" xfId="0" applyNumberFormat="1" applyFont="1" applyFill="1" applyBorder="1" applyAlignment="1">
      <alignment horizontal="center"/>
    </xf>
    <xf numFmtId="167" fontId="7" fillId="21" borderId="5" xfId="0" applyNumberFormat="1" applyFont="1" applyFill="1" applyBorder="1" applyAlignment="1">
      <alignment horizontal="center" wrapText="1"/>
    </xf>
    <xf numFmtId="1" fontId="7" fillId="21" borderId="5" xfId="0" applyNumberFormat="1" applyFont="1" applyFill="1" applyBorder="1" applyAlignment="1">
      <alignment horizontal="center" wrapText="1"/>
    </xf>
    <xf numFmtId="0" fontId="7" fillId="21" borderId="5" xfId="0" applyFont="1" applyFill="1" applyBorder="1" applyAlignment="1">
      <alignment horizontal="center" wrapText="1"/>
    </xf>
    <xf numFmtId="0" fontId="7" fillId="22" borderId="5" xfId="0" applyFont="1" applyFill="1" applyBorder="1" applyAlignment="1">
      <alignment horizontal="center"/>
    </xf>
    <xf numFmtId="1" fontId="7" fillId="22" borderId="5" xfId="0" applyNumberFormat="1" applyFont="1" applyFill="1" applyBorder="1" applyAlignment="1">
      <alignment horizontal="center"/>
    </xf>
    <xf numFmtId="0" fontId="7" fillId="22" borderId="29" xfId="0" applyFont="1" applyFill="1" applyBorder="1" applyAlignment="1">
      <alignment horizontal="center"/>
    </xf>
    <xf numFmtId="0" fontId="7" fillId="22" borderId="6" xfId="0" applyFont="1" applyFill="1" applyBorder="1" applyAlignment="1">
      <alignment horizontal="center"/>
    </xf>
    <xf numFmtId="166" fontId="7" fillId="22" borderId="21" xfId="0" applyNumberFormat="1" applyFont="1" applyFill="1" applyBorder="1" applyAlignment="1">
      <alignment horizontal="center"/>
    </xf>
    <xf numFmtId="167" fontId="7" fillId="16" borderId="5" xfId="0" applyNumberFormat="1" applyFont="1" applyFill="1" applyBorder="1" applyAlignment="1">
      <alignment horizontal="center" wrapText="1"/>
    </xf>
    <xf numFmtId="1" fontId="7" fillId="16" borderId="7" xfId="0" applyNumberFormat="1" applyFont="1" applyFill="1" applyBorder="1" applyAlignment="1">
      <alignment horizontal="center" wrapText="1"/>
    </xf>
    <xf numFmtId="0" fontId="7" fillId="16" borderId="7" xfId="0" applyFont="1" applyFill="1" applyBorder="1" applyAlignment="1">
      <alignment horizontal="center" wrapText="1"/>
    </xf>
    <xf numFmtId="0" fontId="7" fillId="9" borderId="5" xfId="0" applyFont="1" applyFill="1" applyBorder="1" applyAlignment="1">
      <alignment horizontal="center"/>
    </xf>
    <xf numFmtId="1" fontId="7" fillId="9" borderId="7" xfId="0" applyNumberFormat="1" applyFont="1" applyFill="1" applyBorder="1" applyAlignment="1">
      <alignment horizontal="center"/>
    </xf>
    <xf numFmtId="0" fontId="7" fillId="9" borderId="28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166" fontId="7" fillId="9" borderId="22" xfId="0" applyNumberFormat="1" applyFont="1" applyFill="1" applyBorder="1" applyAlignment="1">
      <alignment horizontal="center"/>
    </xf>
    <xf numFmtId="167" fontId="7" fillId="16" borderId="7" xfId="0" applyNumberFormat="1" applyFont="1" applyFill="1" applyBorder="1" applyAlignment="1">
      <alignment horizontal="center" wrapText="1"/>
    </xf>
    <xf numFmtId="167" fontId="7" fillId="16" borderId="18" xfId="0" applyNumberFormat="1" applyFont="1" applyFill="1" applyBorder="1" applyAlignment="1">
      <alignment horizontal="center" wrapText="1"/>
    </xf>
    <xf numFmtId="1" fontId="7" fillId="16" borderId="18" xfId="0" applyNumberFormat="1" applyFont="1" applyFill="1" applyBorder="1" applyAlignment="1">
      <alignment horizontal="center" wrapText="1"/>
    </xf>
    <xf numFmtId="0" fontId="7" fillId="16" borderId="18" xfId="0" applyFont="1" applyFill="1" applyBorder="1" applyAlignment="1">
      <alignment horizontal="center" wrapText="1"/>
    </xf>
    <xf numFmtId="1" fontId="7" fillId="9" borderId="18" xfId="0" applyNumberFormat="1" applyFont="1" applyFill="1" applyBorder="1" applyAlignment="1">
      <alignment horizontal="center"/>
    </xf>
    <xf numFmtId="0" fontId="7" fillId="9" borderId="32" xfId="0" applyFont="1" applyFill="1" applyBorder="1" applyAlignment="1">
      <alignment horizontal="center"/>
    </xf>
    <xf numFmtId="0" fontId="7" fillId="9" borderId="19" xfId="0" applyFont="1" applyFill="1" applyBorder="1" applyAlignment="1">
      <alignment horizontal="center"/>
    </xf>
    <xf numFmtId="166" fontId="7" fillId="9" borderId="25" xfId="0" applyNumberFormat="1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12" borderId="16" xfId="0" applyFont="1" applyFill="1" applyBorder="1" applyAlignment="1">
      <alignment horizontal="center"/>
    </xf>
    <xf numFmtId="167" fontId="7" fillId="12" borderId="16" xfId="0" applyNumberFormat="1" applyFont="1" applyFill="1" applyBorder="1" applyAlignment="1">
      <alignment horizontal="center"/>
    </xf>
    <xf numFmtId="1" fontId="7" fillId="12" borderId="16" xfId="0" applyNumberFormat="1" applyFont="1" applyFill="1" applyBorder="1" applyAlignment="1">
      <alignment horizontal="center"/>
    </xf>
    <xf numFmtId="1" fontId="7" fillId="12" borderId="37" xfId="0" applyNumberFormat="1" applyFont="1" applyFill="1" applyBorder="1" applyAlignment="1">
      <alignment horizontal="center"/>
    </xf>
    <xf numFmtId="0" fontId="7" fillId="12" borderId="31" xfId="0" applyFont="1" applyFill="1" applyBorder="1" applyAlignment="1">
      <alignment horizontal="center"/>
    </xf>
    <xf numFmtId="0" fontId="7" fillId="12" borderId="40" xfId="0" applyFont="1" applyFill="1" applyBorder="1" applyAlignment="1">
      <alignment horizontal="center"/>
    </xf>
    <xf numFmtId="0" fontId="7" fillId="12" borderId="5" xfId="0" applyFont="1" applyFill="1" applyBorder="1" applyAlignment="1">
      <alignment horizontal="center"/>
    </xf>
    <xf numFmtId="0" fontId="7" fillId="20" borderId="7" xfId="0" applyFont="1" applyFill="1" applyBorder="1" applyAlignment="1">
      <alignment horizontal="center"/>
    </xf>
    <xf numFmtId="167" fontId="7" fillId="12" borderId="5" xfId="0" applyNumberFormat="1" applyFont="1" applyFill="1" applyBorder="1" applyAlignment="1">
      <alignment horizontal="center"/>
    </xf>
    <xf numFmtId="1" fontId="7" fillId="12" borderId="5" xfId="0" applyNumberFormat="1" applyFont="1" applyFill="1" applyBorder="1" applyAlignment="1">
      <alignment horizontal="center"/>
    </xf>
    <xf numFmtId="0" fontId="7" fillId="12" borderId="7" xfId="0" applyFont="1" applyFill="1" applyBorder="1" applyAlignment="1">
      <alignment horizontal="center"/>
    </xf>
    <xf numFmtId="1" fontId="7" fillId="12" borderId="38" xfId="0" applyNumberFormat="1" applyFont="1" applyFill="1" applyBorder="1" applyAlignment="1">
      <alignment horizontal="center"/>
    </xf>
    <xf numFmtId="0" fontId="7" fillId="12" borderId="29" xfId="0" applyFont="1" applyFill="1" applyBorder="1" applyAlignment="1">
      <alignment horizontal="center"/>
    </xf>
    <xf numFmtId="0" fontId="7" fillId="12" borderId="39" xfId="0" applyFont="1" applyFill="1" applyBorder="1" applyAlignment="1">
      <alignment horizontal="center"/>
    </xf>
    <xf numFmtId="0" fontId="7" fillId="12" borderId="41" xfId="0" applyFont="1" applyFill="1" applyBorder="1" applyAlignment="1">
      <alignment horizontal="center"/>
    </xf>
    <xf numFmtId="167" fontId="7" fillId="12" borderId="41" xfId="0" applyNumberFormat="1" applyFont="1" applyFill="1" applyBorder="1" applyAlignment="1">
      <alignment horizontal="center"/>
    </xf>
    <xf numFmtId="1" fontId="7" fillId="12" borderId="41" xfId="0" applyNumberFormat="1" applyFont="1" applyFill="1" applyBorder="1" applyAlignment="1">
      <alignment horizontal="center"/>
    </xf>
    <xf numFmtId="1" fontId="7" fillId="12" borderId="42" xfId="0" applyNumberFormat="1" applyFont="1" applyFill="1" applyBorder="1" applyAlignment="1">
      <alignment horizontal="center"/>
    </xf>
    <xf numFmtId="0" fontId="7" fillId="12" borderId="43" xfId="0" applyFont="1" applyFill="1" applyBorder="1" applyAlignment="1">
      <alignment horizontal="center"/>
    </xf>
    <xf numFmtId="0" fontId="7" fillId="12" borderId="44" xfId="0" applyFont="1" applyFill="1" applyBorder="1" applyAlignment="1">
      <alignment horizontal="center"/>
    </xf>
    <xf numFmtId="0" fontId="7" fillId="13" borderId="16" xfId="0" applyFont="1" applyFill="1" applyBorder="1" applyAlignment="1">
      <alignment horizontal="center"/>
    </xf>
    <xf numFmtId="0" fontId="7" fillId="19" borderId="16" xfId="0" applyFont="1" applyFill="1" applyBorder="1" applyAlignment="1">
      <alignment horizontal="center"/>
    </xf>
    <xf numFmtId="167" fontId="7" fillId="19" borderId="16" xfId="0" applyNumberFormat="1" applyFont="1" applyFill="1" applyBorder="1" applyAlignment="1">
      <alignment horizontal="center" wrapText="1"/>
    </xf>
    <xf numFmtId="1" fontId="7" fillId="19" borderId="16" xfId="0" applyNumberFormat="1" applyFont="1" applyFill="1" applyBorder="1" applyAlignment="1">
      <alignment horizontal="center" wrapText="1"/>
    </xf>
    <xf numFmtId="1" fontId="7" fillId="13" borderId="16" xfId="0" applyNumberFormat="1" applyFont="1" applyFill="1" applyBorder="1" applyAlignment="1">
      <alignment horizontal="center"/>
    </xf>
    <xf numFmtId="0" fontId="7" fillId="13" borderId="31" xfId="0" applyFont="1" applyFill="1" applyBorder="1" applyAlignment="1">
      <alignment horizontal="center"/>
    </xf>
    <xf numFmtId="0" fontId="7" fillId="13" borderId="17" xfId="0" applyFont="1" applyFill="1" applyBorder="1" applyAlignment="1">
      <alignment horizontal="center"/>
    </xf>
    <xf numFmtId="166" fontId="7" fillId="13" borderId="24" xfId="0" applyNumberFormat="1" applyFont="1" applyFill="1" applyBorder="1" applyAlignment="1">
      <alignment horizontal="center"/>
    </xf>
    <xf numFmtId="0" fontId="7" fillId="19" borderId="7" xfId="0" applyFont="1" applyFill="1" applyBorder="1" applyAlignment="1">
      <alignment horizontal="center"/>
    </xf>
    <xf numFmtId="0" fontId="7" fillId="13" borderId="7" xfId="0" applyFont="1" applyFill="1" applyBorder="1" applyAlignment="1">
      <alignment horizontal="center"/>
    </xf>
    <xf numFmtId="167" fontId="7" fillId="19" borderId="7" xfId="0" applyNumberFormat="1" applyFont="1" applyFill="1" applyBorder="1" applyAlignment="1">
      <alignment horizontal="center" wrapText="1"/>
    </xf>
    <xf numFmtId="1" fontId="7" fillId="19" borderId="7" xfId="0" applyNumberFormat="1" applyFont="1" applyFill="1" applyBorder="1" applyAlignment="1">
      <alignment horizontal="center" wrapText="1"/>
    </xf>
    <xf numFmtId="1" fontId="7" fillId="13" borderId="7" xfId="0" applyNumberFormat="1" applyFont="1" applyFill="1" applyBorder="1" applyAlignment="1">
      <alignment horizontal="center"/>
    </xf>
    <xf numFmtId="0" fontId="7" fillId="13" borderId="28" xfId="0" applyFont="1" applyFill="1" applyBorder="1" applyAlignment="1">
      <alignment horizontal="center"/>
    </xf>
    <xf numFmtId="0" fontId="7" fillId="13" borderId="8" xfId="0" applyFont="1" applyFill="1" applyBorder="1" applyAlignment="1">
      <alignment horizontal="center"/>
    </xf>
    <xf numFmtId="166" fontId="7" fillId="13" borderId="22" xfId="0" applyNumberFormat="1" applyFont="1" applyFill="1" applyBorder="1" applyAlignment="1">
      <alignment horizontal="center"/>
    </xf>
    <xf numFmtId="0" fontId="7" fillId="19" borderId="18" xfId="0" applyFont="1" applyFill="1" applyBorder="1" applyAlignment="1">
      <alignment horizontal="center"/>
    </xf>
    <xf numFmtId="0" fontId="7" fillId="19" borderId="14" xfId="0" applyFont="1" applyFill="1" applyBorder="1" applyAlignment="1">
      <alignment horizontal="center"/>
    </xf>
    <xf numFmtId="0" fontId="7" fillId="13" borderId="18" xfId="0" applyFont="1" applyFill="1" applyBorder="1" applyAlignment="1">
      <alignment horizontal="center"/>
    </xf>
    <xf numFmtId="167" fontId="7" fillId="19" borderId="18" xfId="0" applyNumberFormat="1" applyFont="1" applyFill="1" applyBorder="1" applyAlignment="1">
      <alignment horizontal="center" wrapText="1"/>
    </xf>
    <xf numFmtId="1" fontId="7" fillId="19" borderId="18" xfId="0" applyNumberFormat="1" applyFont="1" applyFill="1" applyBorder="1" applyAlignment="1">
      <alignment horizontal="center" wrapText="1"/>
    </xf>
    <xf numFmtId="1" fontId="7" fillId="13" borderId="18" xfId="0" applyNumberFormat="1" applyFont="1" applyFill="1" applyBorder="1" applyAlignment="1">
      <alignment horizontal="center"/>
    </xf>
    <xf numFmtId="0" fontId="7" fillId="13" borderId="32" xfId="0" applyFont="1" applyFill="1" applyBorder="1" applyAlignment="1">
      <alignment horizontal="center"/>
    </xf>
    <xf numFmtId="0" fontId="7" fillId="13" borderId="19" xfId="0" applyFont="1" applyFill="1" applyBorder="1" applyAlignment="1">
      <alignment horizontal="center"/>
    </xf>
    <xf numFmtId="166" fontId="7" fillId="13" borderId="25" xfId="0" applyNumberFormat="1" applyFont="1" applyFill="1" applyBorder="1" applyAlignment="1">
      <alignment horizontal="center"/>
    </xf>
    <xf numFmtId="0" fontId="7" fillId="15" borderId="5" xfId="0" applyFont="1" applyFill="1" applyBorder="1" applyAlignment="1">
      <alignment horizontal="center"/>
    </xf>
    <xf numFmtId="0" fontId="7" fillId="18" borderId="16" xfId="0" applyFont="1" applyFill="1" applyBorder="1" applyAlignment="1">
      <alignment horizontal="center"/>
    </xf>
    <xf numFmtId="167" fontId="7" fillId="18" borderId="5" xfId="0" applyNumberFormat="1" applyFont="1" applyFill="1" applyBorder="1" applyAlignment="1">
      <alignment horizontal="center" wrapText="1"/>
    </xf>
    <xf numFmtId="1" fontId="7" fillId="18" borderId="5" xfId="0" applyNumberFormat="1" applyFont="1" applyFill="1" applyBorder="1" applyAlignment="1">
      <alignment horizontal="center" wrapText="1"/>
    </xf>
    <xf numFmtId="1" fontId="7" fillId="15" borderId="5" xfId="0" applyNumberFormat="1" applyFont="1" applyFill="1" applyBorder="1" applyAlignment="1">
      <alignment horizontal="center"/>
    </xf>
    <xf numFmtId="0" fontId="7" fillId="15" borderId="29" xfId="0" applyFont="1" applyFill="1" applyBorder="1" applyAlignment="1">
      <alignment horizontal="center"/>
    </xf>
    <xf numFmtId="0" fontId="7" fillId="15" borderId="6" xfId="0" applyFont="1" applyFill="1" applyBorder="1" applyAlignment="1">
      <alignment horizontal="center"/>
    </xf>
    <xf numFmtId="166" fontId="7" fillId="15" borderId="21" xfId="0" applyNumberFormat="1" applyFont="1" applyFill="1" applyBorder="1" applyAlignment="1">
      <alignment horizontal="center"/>
    </xf>
    <xf numFmtId="0" fontId="7" fillId="18" borderId="7" xfId="0" applyFont="1" applyFill="1" applyBorder="1" applyAlignment="1">
      <alignment horizontal="center"/>
    </xf>
    <xf numFmtId="0" fontId="7" fillId="15" borderId="7" xfId="0" applyFont="1" applyFill="1" applyBorder="1" applyAlignment="1">
      <alignment horizontal="center"/>
    </xf>
    <xf numFmtId="167" fontId="7" fillId="18" borderId="7" xfId="0" applyNumberFormat="1" applyFont="1" applyFill="1" applyBorder="1" applyAlignment="1">
      <alignment horizontal="center" wrapText="1"/>
    </xf>
    <xf numFmtId="1" fontId="7" fillId="15" borderId="7" xfId="0" applyNumberFormat="1" applyFont="1" applyFill="1" applyBorder="1" applyAlignment="1">
      <alignment horizontal="center"/>
    </xf>
    <xf numFmtId="0" fontId="7" fillId="15" borderId="28" xfId="0" applyFont="1" applyFill="1" applyBorder="1" applyAlignment="1">
      <alignment horizontal="center"/>
    </xf>
    <xf numFmtId="0" fontId="7" fillId="15" borderId="8" xfId="0" applyFont="1" applyFill="1" applyBorder="1" applyAlignment="1">
      <alignment horizontal="center"/>
    </xf>
    <xf numFmtId="166" fontId="7" fillId="15" borderId="22" xfId="0" applyNumberFormat="1" applyFont="1" applyFill="1" applyBorder="1" applyAlignment="1">
      <alignment horizontal="center"/>
    </xf>
    <xf numFmtId="0" fontId="7" fillId="18" borderId="18" xfId="0" applyFont="1" applyFill="1" applyBorder="1" applyAlignment="1">
      <alignment horizontal="center"/>
    </xf>
    <xf numFmtId="0" fontId="7" fillId="15" borderId="18" xfId="0" applyFont="1" applyFill="1" applyBorder="1" applyAlignment="1">
      <alignment horizontal="center"/>
    </xf>
    <xf numFmtId="167" fontId="7" fillId="15" borderId="18" xfId="0" applyNumberFormat="1" applyFont="1" applyFill="1" applyBorder="1" applyAlignment="1">
      <alignment horizontal="center"/>
    </xf>
    <xf numFmtId="1" fontId="7" fillId="15" borderId="18" xfId="0" applyNumberFormat="1" applyFont="1" applyFill="1" applyBorder="1" applyAlignment="1">
      <alignment horizontal="center"/>
    </xf>
    <xf numFmtId="0" fontId="7" fillId="18" borderId="18" xfId="0" applyFont="1" applyFill="1" applyBorder="1" applyAlignment="1">
      <alignment horizontal="center" wrapText="1"/>
    </xf>
    <xf numFmtId="0" fontId="7" fillId="15" borderId="32" xfId="0" applyFont="1" applyFill="1" applyBorder="1" applyAlignment="1">
      <alignment horizontal="center"/>
    </xf>
    <xf numFmtId="0" fontId="7" fillId="15" borderId="19" xfId="0" applyFont="1" applyFill="1" applyBorder="1" applyAlignment="1">
      <alignment horizontal="center"/>
    </xf>
    <xf numFmtId="166" fontId="7" fillId="15" borderId="25" xfId="0" applyNumberFormat="1" applyFont="1" applyFill="1" applyBorder="1" applyAlignment="1">
      <alignment horizontal="center"/>
    </xf>
    <xf numFmtId="0" fontId="7" fillId="17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67" fontId="7" fillId="2" borderId="5" xfId="0" applyNumberFormat="1" applyFont="1" applyFill="1" applyBorder="1" applyAlignment="1">
      <alignment horizontal="center"/>
    </xf>
    <xf numFmtId="1" fontId="7" fillId="2" borderId="5" xfId="0" applyNumberFormat="1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166" fontId="7" fillId="2" borderId="21" xfId="0" applyNumberFormat="1" applyFont="1" applyFill="1" applyBorder="1" applyAlignment="1">
      <alignment horizontal="center"/>
    </xf>
    <xf numFmtId="0" fontId="7" fillId="17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167" fontId="7" fillId="2" borderId="7" xfId="0" applyNumberFormat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166" fontId="7" fillId="2" borderId="22" xfId="0" applyNumberFormat="1" applyFont="1" applyFill="1" applyBorder="1" applyAlignment="1">
      <alignment horizontal="center"/>
    </xf>
    <xf numFmtId="167" fontId="7" fillId="8" borderId="7" xfId="0" applyNumberFormat="1" applyFont="1" applyFill="1" applyBorder="1" applyAlignment="1">
      <alignment horizontal="center" wrapText="1"/>
    </xf>
    <xf numFmtId="1" fontId="7" fillId="8" borderId="7" xfId="0" applyNumberFormat="1" applyFont="1" applyFill="1" applyBorder="1" applyAlignment="1">
      <alignment horizontal="center" wrapText="1"/>
    </xf>
    <xf numFmtId="0" fontId="7" fillId="17" borderId="14" xfId="0" applyFont="1" applyFill="1" applyBorder="1" applyAlignment="1">
      <alignment horizontal="center"/>
    </xf>
    <xf numFmtId="0" fontId="7" fillId="17" borderId="1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167" fontId="7" fillId="8" borderId="14" xfId="0" applyNumberFormat="1" applyFont="1" applyFill="1" applyBorder="1" applyAlignment="1">
      <alignment horizontal="center" wrapText="1"/>
    </xf>
    <xf numFmtId="1" fontId="7" fillId="8" borderId="14" xfId="0" applyNumberFormat="1" applyFont="1" applyFill="1" applyBorder="1" applyAlignment="1">
      <alignment horizontal="center" wrapText="1"/>
    </xf>
    <xf numFmtId="0" fontId="7" fillId="8" borderId="14" xfId="0" applyFont="1" applyFill="1" applyBorder="1" applyAlignment="1">
      <alignment horizontal="center" wrapText="1"/>
    </xf>
    <xf numFmtId="1" fontId="7" fillId="2" borderId="14" xfId="0" applyNumberFormat="1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166" fontId="7" fillId="2" borderId="23" xfId="0" applyNumberFormat="1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167" fontId="7" fillId="7" borderId="16" xfId="0" applyNumberFormat="1" applyFont="1" applyFill="1" applyBorder="1" applyAlignment="1">
      <alignment horizontal="center" wrapText="1"/>
    </xf>
    <xf numFmtId="1" fontId="7" fillId="7" borderId="16" xfId="0" applyNumberFormat="1" applyFont="1" applyFill="1" applyBorder="1" applyAlignment="1">
      <alignment horizontal="center" wrapText="1"/>
    </xf>
    <xf numFmtId="0" fontId="7" fillId="7" borderId="16" xfId="0" applyFont="1" applyFill="1" applyBorder="1" applyAlignment="1">
      <alignment horizontal="center" wrapText="1"/>
    </xf>
    <xf numFmtId="1" fontId="7" fillId="3" borderId="16" xfId="0" applyNumberFormat="1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166" fontId="7" fillId="3" borderId="24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167" fontId="7" fillId="7" borderId="7" xfId="0" applyNumberFormat="1" applyFont="1" applyFill="1" applyBorder="1" applyAlignment="1">
      <alignment horizontal="center" wrapText="1"/>
    </xf>
    <xf numFmtId="1" fontId="7" fillId="7" borderId="7" xfId="0" applyNumberFormat="1" applyFont="1" applyFill="1" applyBorder="1" applyAlignment="1">
      <alignment horizontal="center" wrapText="1"/>
    </xf>
    <xf numFmtId="0" fontId="7" fillId="7" borderId="7" xfId="0" applyFont="1" applyFill="1" applyBorder="1" applyAlignment="1">
      <alignment horizontal="center" wrapText="1"/>
    </xf>
    <xf numFmtId="1" fontId="7" fillId="3" borderId="7" xfId="0" applyNumberFormat="1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6" fontId="7" fillId="3" borderId="22" xfId="0" applyNumberFormat="1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167" fontId="7" fillId="7" borderId="18" xfId="0" applyNumberFormat="1" applyFont="1" applyFill="1" applyBorder="1" applyAlignment="1">
      <alignment horizontal="center" wrapText="1"/>
    </xf>
    <xf numFmtId="1" fontId="7" fillId="7" borderId="18" xfId="0" applyNumberFormat="1" applyFont="1" applyFill="1" applyBorder="1" applyAlignment="1">
      <alignment horizontal="center" wrapText="1"/>
    </xf>
    <xf numFmtId="0" fontId="7" fillId="7" borderId="18" xfId="0" applyFont="1" applyFill="1" applyBorder="1" applyAlignment="1">
      <alignment horizontal="center" wrapText="1"/>
    </xf>
    <xf numFmtId="1" fontId="7" fillId="3" borderId="18" xfId="0" applyNumberFormat="1" applyFont="1" applyFill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166" fontId="7" fillId="3" borderId="25" xfId="0" applyNumberFormat="1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167" fontId="7" fillId="6" borderId="5" xfId="0" applyNumberFormat="1" applyFont="1" applyFill="1" applyBorder="1" applyAlignment="1">
      <alignment horizontal="center" wrapText="1"/>
    </xf>
    <xf numFmtId="1" fontId="7" fillId="6" borderId="5" xfId="0" applyNumberFormat="1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7" fillId="6" borderId="7" xfId="0" applyFont="1" applyFill="1" applyBorder="1" applyAlignment="1">
      <alignment horizontal="center" wrapText="1"/>
    </xf>
    <xf numFmtId="1" fontId="7" fillId="4" borderId="5" xfId="0" applyNumberFormat="1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166" fontId="7" fillId="4" borderId="21" xfId="0" applyNumberFormat="1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167" fontId="7" fillId="6" borderId="7" xfId="0" applyNumberFormat="1" applyFont="1" applyFill="1" applyBorder="1" applyAlignment="1">
      <alignment horizontal="center" wrapText="1"/>
    </xf>
    <xf numFmtId="1" fontId="7" fillId="6" borderId="7" xfId="0" applyNumberFormat="1" applyFont="1" applyFill="1" applyBorder="1" applyAlignment="1">
      <alignment horizontal="center" wrapText="1"/>
    </xf>
    <xf numFmtId="1" fontId="7" fillId="4" borderId="7" xfId="0" applyNumberFormat="1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166" fontId="7" fillId="4" borderId="22" xfId="0" applyNumberFormat="1" applyFont="1" applyFill="1" applyBorder="1" applyAlignment="1">
      <alignment horizontal="center"/>
    </xf>
    <xf numFmtId="0" fontId="7" fillId="14" borderId="7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167" fontId="7" fillId="14" borderId="7" xfId="0" applyNumberFormat="1" applyFont="1" applyFill="1" applyBorder="1" applyAlignment="1">
      <alignment horizontal="center" wrapText="1"/>
    </xf>
    <xf numFmtId="1" fontId="7" fillId="14" borderId="7" xfId="0" applyNumberFormat="1" applyFont="1" applyFill="1" applyBorder="1" applyAlignment="1">
      <alignment horizontal="center" wrapText="1"/>
    </xf>
    <xf numFmtId="0" fontId="7" fillId="14" borderId="7" xfId="0" applyFont="1" applyFill="1" applyBorder="1" applyAlignment="1">
      <alignment horizontal="center" wrapText="1"/>
    </xf>
    <xf numFmtId="164" fontId="7" fillId="14" borderId="7" xfId="0" applyNumberFormat="1" applyFont="1" applyFill="1" applyBorder="1" applyAlignment="1">
      <alignment horizontal="center" wrapText="1"/>
    </xf>
    <xf numFmtId="0" fontId="7" fillId="11" borderId="28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166" fontId="7" fillId="11" borderId="22" xfId="0" applyNumberFormat="1" applyFont="1" applyFill="1" applyBorder="1" applyAlignment="1">
      <alignment horizontal="center"/>
    </xf>
    <xf numFmtId="0" fontId="7" fillId="6" borderId="28" xfId="0" applyFont="1" applyFill="1" applyBorder="1" applyAlignment="1">
      <alignment horizontal="center" wrapText="1"/>
    </xf>
    <xf numFmtId="0" fontId="7" fillId="6" borderId="8" xfId="0" applyFont="1" applyFill="1" applyBorder="1" applyAlignment="1">
      <alignment horizontal="center" wrapText="1"/>
    </xf>
    <xf numFmtId="166" fontId="7" fillId="6" borderId="22" xfId="0" applyNumberFormat="1" applyFont="1" applyFill="1" applyBorder="1" applyAlignment="1">
      <alignment horizontal="center" wrapText="1"/>
    </xf>
    <xf numFmtId="0" fontId="7" fillId="4" borderId="14" xfId="0" applyFont="1" applyFill="1" applyBorder="1" applyAlignment="1">
      <alignment horizontal="center"/>
    </xf>
    <xf numFmtId="167" fontId="7" fillId="6" borderId="14" xfId="0" applyNumberFormat="1" applyFont="1" applyFill="1" applyBorder="1" applyAlignment="1">
      <alignment horizontal="center" wrapText="1"/>
    </xf>
    <xf numFmtId="1" fontId="7" fillId="6" borderId="14" xfId="0" applyNumberFormat="1" applyFont="1" applyFill="1" applyBorder="1" applyAlignment="1">
      <alignment horizontal="center" wrapText="1"/>
    </xf>
    <xf numFmtId="0" fontId="7" fillId="6" borderId="14" xfId="0" applyFont="1" applyFill="1" applyBorder="1" applyAlignment="1">
      <alignment horizontal="center" wrapText="1"/>
    </xf>
    <xf numFmtId="1" fontId="7" fillId="4" borderId="14" xfId="0" applyNumberFormat="1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166" fontId="7" fillId="4" borderId="23" xfId="0" applyNumberFormat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10" borderId="20" xfId="0" applyFont="1" applyFill="1" applyBorder="1" applyAlignment="1">
      <alignment horizontal="center"/>
    </xf>
    <xf numFmtId="0" fontId="7" fillId="10" borderId="26" xfId="0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10" borderId="1" xfId="0" applyFont="1" applyFill="1" applyBorder="1"/>
    <xf numFmtId="0" fontId="6" fillId="5" borderId="33" xfId="0" applyFont="1" applyFill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center" vertical="center" wrapText="1"/>
    </xf>
    <xf numFmtId="0" fontId="6" fillId="5" borderId="35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6" fillId="5" borderId="36" xfId="0" applyNumberFormat="1" applyFont="1" applyFill="1" applyBorder="1" applyAlignment="1">
      <alignment horizontal="center" vertical="center" wrapText="1"/>
    </xf>
    <xf numFmtId="166" fontId="7" fillId="12" borderId="21" xfId="0" applyNumberFormat="1" applyFont="1" applyFill="1" applyBorder="1" applyAlignment="1">
      <alignment horizontal="center"/>
    </xf>
    <xf numFmtId="166" fontId="7" fillId="12" borderId="45" xfId="0" applyNumberFormat="1" applyFont="1" applyFill="1" applyBorder="1" applyAlignment="1">
      <alignment horizontal="center"/>
    </xf>
    <xf numFmtId="166" fontId="7" fillId="10" borderId="20" xfId="0" applyNumberFormat="1" applyFont="1" applyFill="1" applyBorder="1" applyAlignment="1">
      <alignment horizontal="center"/>
    </xf>
    <xf numFmtId="166" fontId="7" fillId="10" borderId="0" xfId="0" applyNumberFormat="1" applyFont="1" applyFill="1" applyAlignment="1">
      <alignment horizontal="center"/>
    </xf>
    <xf numFmtId="166" fontId="7" fillId="10" borderId="0" xfId="0" applyNumberFormat="1" applyFont="1" applyFill="1"/>
    <xf numFmtId="166" fontId="0" fillId="10" borderId="0" xfId="0" applyNumberFormat="1" applyFill="1" applyAlignment="1">
      <alignment horizontal="center"/>
    </xf>
    <xf numFmtId="0" fontId="8" fillId="12" borderId="5" xfId="0" applyFont="1" applyFill="1" applyBorder="1" applyAlignment="1">
      <alignment horizontal="center"/>
    </xf>
    <xf numFmtId="167" fontId="8" fillId="12" borderId="5" xfId="0" applyNumberFormat="1" applyFont="1" applyFill="1" applyBorder="1" applyAlignment="1">
      <alignment horizontal="center"/>
    </xf>
    <xf numFmtId="1" fontId="8" fillId="12" borderId="5" xfId="0" applyNumberFormat="1" applyFont="1" applyFill="1" applyBorder="1" applyAlignment="1">
      <alignment horizontal="center"/>
    </xf>
    <xf numFmtId="0" fontId="8" fillId="12" borderId="7" xfId="0" applyFont="1" applyFill="1" applyBorder="1" applyAlignment="1">
      <alignment horizontal="center"/>
    </xf>
    <xf numFmtId="1" fontId="8" fillId="12" borderId="38" xfId="0" applyNumberFormat="1" applyFont="1" applyFill="1" applyBorder="1" applyAlignment="1">
      <alignment horizontal="center"/>
    </xf>
    <xf numFmtId="0" fontId="8" fillId="12" borderId="29" xfId="0" applyFont="1" applyFill="1" applyBorder="1" applyAlignment="1">
      <alignment horizontal="center"/>
    </xf>
    <xf numFmtId="0" fontId="8" fillId="12" borderId="39" xfId="0" applyFont="1" applyFill="1" applyBorder="1" applyAlignment="1">
      <alignment horizontal="center"/>
    </xf>
    <xf numFmtId="166" fontId="8" fillId="12" borderId="21" xfId="0" applyNumberFormat="1" applyFont="1" applyFill="1" applyBorder="1" applyAlignment="1">
      <alignment horizontal="center"/>
    </xf>
    <xf numFmtId="166" fontId="8" fillId="12" borderId="24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7" fillId="16" borderId="7" xfId="0" applyFont="1" applyFill="1" applyBorder="1" applyAlignment="1">
      <alignment horizontal="center"/>
    </xf>
    <xf numFmtId="0" fontId="7" fillId="21" borderId="7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7" fillId="21" borderId="16" xfId="0" applyFont="1" applyFill="1" applyBorder="1" applyAlignment="1">
      <alignment horizontal="center"/>
    </xf>
    <xf numFmtId="0" fontId="7" fillId="16" borderId="18" xfId="0" applyFont="1" applyFill="1" applyBorder="1" applyAlignment="1">
      <alignment horizontal="center"/>
    </xf>
    <xf numFmtId="0" fontId="7" fillId="23" borderId="7" xfId="0" applyFont="1" applyFill="1" applyBorder="1" applyAlignment="1">
      <alignment horizontal="center"/>
    </xf>
    <xf numFmtId="0" fontId="7" fillId="23" borderId="14" xfId="0" applyFont="1" applyFill="1" applyBorder="1" applyAlignment="1">
      <alignment horizontal="center"/>
    </xf>
    <xf numFmtId="0" fontId="7" fillId="23" borderId="5" xfId="0" applyFont="1" applyFill="1" applyBorder="1" applyAlignment="1">
      <alignment horizontal="center"/>
    </xf>
    <xf numFmtId="0" fontId="7" fillId="24" borderId="16" xfId="0" applyFont="1" applyFill="1" applyBorder="1" applyAlignment="1">
      <alignment horizontal="center"/>
    </xf>
    <xf numFmtId="0" fontId="7" fillId="24" borderId="7" xfId="0" applyFont="1" applyFill="1" applyBorder="1" applyAlignment="1">
      <alignment horizontal="center"/>
    </xf>
    <xf numFmtId="0" fontId="7" fillId="24" borderId="18" xfId="0" applyFont="1" applyFill="1" applyBorder="1" applyAlignment="1">
      <alignment horizontal="center"/>
    </xf>
    <xf numFmtId="0" fontId="7" fillId="25" borderId="7" xfId="0" applyFont="1" applyFill="1" applyBorder="1" applyAlignment="1">
      <alignment horizontal="center"/>
    </xf>
    <xf numFmtId="0" fontId="7" fillId="25" borderId="7" xfId="0" applyFont="1" applyFill="1" applyBorder="1" applyAlignment="1">
      <alignment horizontal="center" wrapText="1"/>
    </xf>
    <xf numFmtId="0" fontId="7" fillId="26" borderId="7" xfId="0" applyFont="1" applyFill="1" applyBorder="1" applyAlignment="1">
      <alignment horizontal="center"/>
    </xf>
    <xf numFmtId="167" fontId="7" fillId="25" borderId="7" xfId="0" applyNumberFormat="1" applyFont="1" applyFill="1" applyBorder="1" applyAlignment="1">
      <alignment horizontal="center" wrapText="1"/>
    </xf>
    <xf numFmtId="1" fontId="7" fillId="25" borderId="7" xfId="0" applyNumberFormat="1" applyFont="1" applyFill="1" applyBorder="1" applyAlignment="1">
      <alignment horizontal="center" wrapText="1"/>
    </xf>
    <xf numFmtId="0" fontId="7" fillId="26" borderId="5" xfId="0" applyFont="1" applyFill="1" applyBorder="1" applyAlignment="1">
      <alignment horizontal="center"/>
    </xf>
    <xf numFmtId="1" fontId="7" fillId="26" borderId="7" xfId="0" applyNumberFormat="1" applyFont="1" applyFill="1" applyBorder="1" applyAlignment="1">
      <alignment horizontal="center"/>
    </xf>
    <xf numFmtId="0" fontId="7" fillId="26" borderId="28" xfId="0" applyFont="1" applyFill="1" applyBorder="1" applyAlignment="1">
      <alignment horizontal="center"/>
    </xf>
    <xf numFmtId="0" fontId="7" fillId="26" borderId="8" xfId="0" applyFont="1" applyFill="1" applyBorder="1" applyAlignment="1">
      <alignment horizontal="center"/>
    </xf>
    <xf numFmtId="166" fontId="7" fillId="26" borderId="22" xfId="0" applyNumberFormat="1" applyFont="1" applyFill="1" applyBorder="1" applyAlignment="1">
      <alignment horizontal="center"/>
    </xf>
    <xf numFmtId="0" fontId="7" fillId="12" borderId="33" xfId="0" applyFont="1" applyFill="1" applyBorder="1" applyAlignment="1">
      <alignment horizontal="center" vertical="center" textRotation="90"/>
    </xf>
    <xf numFmtId="0" fontId="7" fillId="13" borderId="33" xfId="0" applyFont="1" applyFill="1" applyBorder="1" applyAlignment="1">
      <alignment horizontal="center" vertical="center" textRotation="90"/>
    </xf>
    <xf numFmtId="0" fontId="7" fillId="3" borderId="33" xfId="0" applyFont="1" applyFill="1" applyBorder="1" applyAlignment="1">
      <alignment horizontal="center" vertical="center" textRotation="90"/>
    </xf>
    <xf numFmtId="0" fontId="7" fillId="9" borderId="33" xfId="0" applyFont="1" applyFill="1" applyBorder="1" applyAlignment="1">
      <alignment horizontal="center" vertical="center" textRotation="90"/>
    </xf>
    <xf numFmtId="0" fontId="7" fillId="2" borderId="33" xfId="0" applyFont="1" applyFill="1" applyBorder="1" applyAlignment="1">
      <alignment horizontal="center" vertical="center" textRotation="90"/>
    </xf>
    <xf numFmtId="0" fontId="7" fillId="15" borderId="33" xfId="0" applyFont="1" applyFill="1" applyBorder="1" applyAlignment="1">
      <alignment horizontal="center" vertical="center" textRotation="90" wrapText="1"/>
    </xf>
    <xf numFmtId="0" fontId="7" fillId="4" borderId="46" xfId="0" applyFont="1" applyFill="1" applyBorder="1" applyAlignment="1">
      <alignment horizontal="center" vertical="center" textRotation="90"/>
    </xf>
    <xf numFmtId="0" fontId="7" fillId="4" borderId="47" xfId="0" applyFont="1" applyFill="1" applyBorder="1" applyAlignment="1">
      <alignment horizontal="center" vertical="center" textRotation="90"/>
    </xf>
    <xf numFmtId="0" fontId="7" fillId="4" borderId="41" xfId="0" applyFont="1" applyFill="1" applyBorder="1" applyAlignment="1">
      <alignment horizontal="center" vertical="center" textRotation="90"/>
    </xf>
    <xf numFmtId="166" fontId="6" fillId="5" borderId="33" xfId="0" applyNumberFormat="1" applyFont="1" applyFill="1" applyBorder="1" applyAlignment="1">
      <alignment horizontal="center" vertical="center" wrapText="1"/>
    </xf>
    <xf numFmtId="166" fontId="7" fillId="12" borderId="16" xfId="0" applyNumberFormat="1" applyFont="1" applyFill="1" applyBorder="1" applyAlignment="1">
      <alignment horizontal="center"/>
    </xf>
    <xf numFmtId="166" fontId="8" fillId="12" borderId="5" xfId="0" applyNumberFormat="1" applyFont="1" applyFill="1" applyBorder="1" applyAlignment="1">
      <alignment horizontal="center"/>
    </xf>
    <xf numFmtId="166" fontId="7" fillId="12" borderId="5" xfId="0" applyNumberFormat="1" applyFont="1" applyFill="1" applyBorder="1" applyAlignment="1">
      <alignment horizontal="center"/>
    </xf>
    <xf numFmtId="166" fontId="7" fillId="12" borderId="41" xfId="0" applyNumberFormat="1" applyFont="1" applyFill="1" applyBorder="1" applyAlignment="1">
      <alignment horizontal="center"/>
    </xf>
    <xf numFmtId="166" fontId="7" fillId="19" borderId="16" xfId="0" applyNumberFormat="1" applyFont="1" applyFill="1" applyBorder="1" applyAlignment="1">
      <alignment horizontal="center" wrapText="1"/>
    </xf>
    <xf numFmtId="166" fontId="7" fillId="19" borderId="7" xfId="0" applyNumberFormat="1" applyFont="1" applyFill="1" applyBorder="1" applyAlignment="1">
      <alignment horizontal="center" wrapText="1"/>
    </xf>
    <xf numFmtId="166" fontId="7" fillId="19" borderId="18" xfId="0" applyNumberFormat="1" applyFont="1" applyFill="1" applyBorder="1" applyAlignment="1">
      <alignment horizontal="center" wrapText="1"/>
    </xf>
    <xf numFmtId="166" fontId="7" fillId="18" borderId="5" xfId="0" applyNumberFormat="1" applyFont="1" applyFill="1" applyBorder="1" applyAlignment="1">
      <alignment horizontal="center" wrapText="1"/>
    </xf>
    <xf numFmtId="166" fontId="7" fillId="15" borderId="18" xfId="0" applyNumberFormat="1" applyFont="1" applyFill="1" applyBorder="1" applyAlignment="1">
      <alignment horizontal="center"/>
    </xf>
    <xf numFmtId="166" fontId="7" fillId="2" borderId="5" xfId="0" applyNumberFormat="1" applyFont="1" applyFill="1" applyBorder="1" applyAlignment="1">
      <alignment horizontal="center"/>
    </xf>
    <xf numFmtId="166" fontId="7" fillId="2" borderId="7" xfId="0" applyNumberFormat="1" applyFont="1" applyFill="1" applyBorder="1" applyAlignment="1">
      <alignment horizontal="center"/>
    </xf>
    <xf numFmtId="166" fontId="7" fillId="8" borderId="7" xfId="0" applyNumberFormat="1" applyFont="1" applyFill="1" applyBorder="1" applyAlignment="1">
      <alignment horizontal="center" wrapText="1"/>
    </xf>
    <xf numFmtId="166" fontId="7" fillId="8" borderId="14" xfId="0" applyNumberFormat="1" applyFont="1" applyFill="1" applyBorder="1" applyAlignment="1">
      <alignment horizontal="center" wrapText="1"/>
    </xf>
    <xf numFmtId="166" fontId="7" fillId="7" borderId="16" xfId="0" applyNumberFormat="1" applyFont="1" applyFill="1" applyBorder="1" applyAlignment="1">
      <alignment horizontal="center" wrapText="1"/>
    </xf>
    <xf numFmtId="166" fontId="7" fillId="7" borderId="7" xfId="0" applyNumberFormat="1" applyFont="1" applyFill="1" applyBorder="1" applyAlignment="1">
      <alignment horizontal="center" wrapText="1"/>
    </xf>
    <xf numFmtId="166" fontId="7" fillId="7" borderId="18" xfId="0" applyNumberFormat="1" applyFont="1" applyFill="1" applyBorder="1" applyAlignment="1">
      <alignment horizontal="center" wrapText="1"/>
    </xf>
    <xf numFmtId="166" fontId="7" fillId="6" borderId="5" xfId="0" applyNumberFormat="1" applyFont="1" applyFill="1" applyBorder="1" applyAlignment="1">
      <alignment horizontal="center" wrapText="1"/>
    </xf>
    <xf numFmtId="166" fontId="7" fillId="6" borderId="7" xfId="0" applyNumberFormat="1" applyFont="1" applyFill="1" applyBorder="1" applyAlignment="1">
      <alignment horizontal="center" wrapText="1"/>
    </xf>
    <xf numFmtId="166" fontId="7" fillId="14" borderId="7" xfId="0" applyNumberFormat="1" applyFont="1" applyFill="1" applyBorder="1" applyAlignment="1">
      <alignment horizontal="center" wrapText="1"/>
    </xf>
    <xf numFmtId="166" fontId="7" fillId="6" borderId="14" xfId="0" applyNumberFormat="1" applyFont="1" applyFill="1" applyBorder="1" applyAlignment="1">
      <alignment horizontal="center" wrapText="1"/>
    </xf>
    <xf numFmtId="166" fontId="7" fillId="21" borderId="16" xfId="0" applyNumberFormat="1" applyFont="1" applyFill="1" applyBorder="1" applyAlignment="1">
      <alignment horizontal="center" wrapText="1"/>
    </xf>
    <xf numFmtId="166" fontId="7" fillId="21" borderId="5" xfId="0" applyNumberFormat="1" applyFont="1" applyFill="1" applyBorder="1" applyAlignment="1">
      <alignment horizontal="center" wrapText="1"/>
    </xf>
    <xf numFmtId="166" fontId="7" fillId="16" borderId="5" xfId="0" applyNumberFormat="1" applyFont="1" applyFill="1" applyBorder="1" applyAlignment="1">
      <alignment horizontal="center" wrapText="1"/>
    </xf>
    <xf numFmtId="166" fontId="7" fillId="16" borderId="7" xfId="0" applyNumberFormat="1" applyFont="1" applyFill="1" applyBorder="1" applyAlignment="1">
      <alignment horizontal="center" wrapText="1"/>
    </xf>
    <xf numFmtId="166" fontId="7" fillId="25" borderId="7" xfId="0" applyNumberFormat="1" applyFont="1" applyFill="1" applyBorder="1" applyAlignment="1">
      <alignment horizontal="center" wrapText="1"/>
    </xf>
    <xf numFmtId="166" fontId="7" fillId="16" borderId="18" xfId="0" applyNumberFormat="1" applyFont="1" applyFill="1" applyBorder="1" applyAlignment="1">
      <alignment horizontal="center" wrapText="1"/>
    </xf>
    <xf numFmtId="166" fontId="7" fillId="10" borderId="0" xfId="0" applyNumberFormat="1" applyFont="1" applyFill="1" applyAlignment="1">
      <alignment horizontal="center" vertical="center"/>
    </xf>
    <xf numFmtId="166" fontId="0" fillId="0" borderId="0" xfId="0" applyNumberFormat="1" applyBorder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9" fillId="0" borderId="0" xfId="1" applyFont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3"/>
  <sheetViews>
    <sheetView tabSelected="1" topLeftCell="A59" zoomScaleNormal="100" zoomScaleSheetLayoutView="100" workbookViewId="0">
      <selection activeCell="M80" sqref="M80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3" width="8.42578125" style="4" customWidth="1"/>
    <col min="4" max="4" width="8.7109375" style="4" customWidth="1"/>
    <col min="5" max="5" width="8.5703125" style="4" customWidth="1"/>
    <col min="6" max="6" width="9.5703125" style="23" customWidth="1"/>
    <col min="7" max="7" width="8" style="4" customWidth="1"/>
    <col min="8" max="8" width="12.140625" style="4" customWidth="1"/>
    <col min="9" max="9" width="15.5703125" style="10" customWidth="1"/>
    <col min="10" max="10" width="7" style="4" customWidth="1"/>
    <col min="11" max="11" width="19.85546875" style="4" bestFit="1" customWidth="1"/>
    <col min="12" max="13" width="8.28515625" style="4" customWidth="1"/>
    <col min="14" max="14" width="8.28515625" style="23" customWidth="1"/>
    <col min="15" max="15" width="7.7109375" style="226" customWidth="1"/>
    <col min="16" max="16" width="7.140625" style="4" customWidth="1"/>
    <col min="17" max="16384" width="9.140625" style="4"/>
  </cols>
  <sheetData>
    <row r="1" spans="1:16" ht="15" thickBot="1" x14ac:dyDescent="0.25">
      <c r="A1" s="1"/>
      <c r="B1" s="2"/>
      <c r="C1" s="2"/>
      <c r="D1" s="2"/>
      <c r="E1" s="2"/>
      <c r="F1" s="231"/>
      <c r="G1" s="2"/>
      <c r="H1" s="2"/>
      <c r="I1" s="9"/>
      <c r="J1" s="2"/>
      <c r="K1" s="2"/>
      <c r="L1" s="2"/>
      <c r="M1" s="2"/>
      <c r="N1" s="231"/>
      <c r="P1" s="3"/>
    </row>
    <row r="2" spans="1:16" ht="36" customHeight="1" thickBot="1" x14ac:dyDescent="0.25">
      <c r="A2" s="5"/>
      <c r="B2" s="228" t="s">
        <v>0</v>
      </c>
      <c r="C2" s="228" t="s">
        <v>1</v>
      </c>
      <c r="D2" s="228" t="s">
        <v>2</v>
      </c>
      <c r="E2" s="228" t="s">
        <v>3</v>
      </c>
      <c r="F2" s="279" t="s">
        <v>35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232" t="s">
        <v>11</v>
      </c>
      <c r="O2" s="60"/>
      <c r="P2" s="3"/>
    </row>
    <row r="3" spans="1:16" ht="19.5" customHeight="1" thickBot="1" x14ac:dyDescent="0.25">
      <c r="A3" s="5"/>
      <c r="B3" s="61">
        <v>2026</v>
      </c>
      <c r="C3" s="61">
        <v>1</v>
      </c>
      <c r="D3" s="61">
        <v>306</v>
      </c>
      <c r="E3" s="62"/>
      <c r="F3" s="280"/>
      <c r="G3" s="63"/>
      <c r="H3" s="61"/>
      <c r="I3" s="61"/>
      <c r="J3" s="64"/>
      <c r="K3" s="63"/>
      <c r="L3" s="65"/>
      <c r="M3" s="66"/>
      <c r="N3" s="247"/>
      <c r="O3" s="270" t="s">
        <v>25</v>
      </c>
      <c r="P3" s="3"/>
    </row>
    <row r="4" spans="1:16" ht="19.5" customHeight="1" thickBot="1" x14ac:dyDescent="0.25">
      <c r="A4" s="5"/>
      <c r="B4" s="67">
        <f>B3</f>
        <v>2026</v>
      </c>
      <c r="C4" s="68">
        <f t="shared" ref="C4:C15" si="0">C3</f>
        <v>1</v>
      </c>
      <c r="D4" s="239">
        <v>308</v>
      </c>
      <c r="E4" s="240"/>
      <c r="F4" s="281"/>
      <c r="G4" s="241"/>
      <c r="H4" s="239"/>
      <c r="I4" s="242"/>
      <c r="J4" s="243"/>
      <c r="K4" s="241"/>
      <c r="L4" s="244"/>
      <c r="M4" s="245"/>
      <c r="N4" s="246"/>
      <c r="O4" s="270"/>
      <c r="P4" s="3"/>
    </row>
    <row r="5" spans="1:16" ht="19.5" customHeight="1" thickBot="1" x14ac:dyDescent="0.25">
      <c r="A5" s="5"/>
      <c r="B5" s="67">
        <f t="shared" ref="B5:B14" si="1">B4</f>
        <v>2026</v>
      </c>
      <c r="C5" s="68">
        <f t="shared" si="0"/>
        <v>1</v>
      </c>
      <c r="D5" s="67">
        <v>311</v>
      </c>
      <c r="E5" s="69"/>
      <c r="F5" s="282"/>
      <c r="G5" s="70"/>
      <c r="H5" s="67"/>
      <c r="I5" s="71"/>
      <c r="J5" s="72"/>
      <c r="K5" s="70"/>
      <c r="L5" s="73"/>
      <c r="M5" s="74"/>
      <c r="N5" s="233"/>
      <c r="O5" s="270"/>
      <c r="P5" s="3"/>
    </row>
    <row r="6" spans="1:16" ht="19.5" customHeight="1" thickBot="1" x14ac:dyDescent="0.25">
      <c r="A6" s="5"/>
      <c r="B6" s="67">
        <f t="shared" si="1"/>
        <v>2026</v>
      </c>
      <c r="C6" s="68">
        <f t="shared" si="0"/>
        <v>1</v>
      </c>
      <c r="D6" s="67">
        <v>315</v>
      </c>
      <c r="E6" s="69"/>
      <c r="F6" s="282"/>
      <c r="G6" s="70"/>
      <c r="H6" s="67"/>
      <c r="I6" s="71"/>
      <c r="J6" s="72"/>
      <c r="K6" s="70"/>
      <c r="L6" s="73"/>
      <c r="M6" s="74"/>
      <c r="N6" s="233"/>
      <c r="O6" s="270"/>
      <c r="P6" s="3"/>
    </row>
    <row r="7" spans="1:16" ht="19.5" customHeight="1" thickBot="1" x14ac:dyDescent="0.25">
      <c r="A7" s="5"/>
      <c r="B7" s="67">
        <f t="shared" si="1"/>
        <v>2026</v>
      </c>
      <c r="C7" s="68">
        <f t="shared" si="0"/>
        <v>1</v>
      </c>
      <c r="D7" s="67">
        <v>322</v>
      </c>
      <c r="E7" s="69"/>
      <c r="F7" s="282"/>
      <c r="G7" s="70"/>
      <c r="H7" s="67"/>
      <c r="I7" s="71"/>
      <c r="J7" s="72"/>
      <c r="K7" s="70"/>
      <c r="L7" s="73"/>
      <c r="M7" s="74"/>
      <c r="N7" s="233"/>
      <c r="O7" s="270"/>
      <c r="P7" s="3"/>
    </row>
    <row r="8" spans="1:16" ht="19.5" customHeight="1" thickBot="1" x14ac:dyDescent="0.25">
      <c r="A8" s="5"/>
      <c r="B8" s="67">
        <f t="shared" si="1"/>
        <v>2026</v>
      </c>
      <c r="C8" s="68">
        <f t="shared" si="0"/>
        <v>1</v>
      </c>
      <c r="D8" s="67">
        <v>323</v>
      </c>
      <c r="E8" s="69"/>
      <c r="F8" s="282"/>
      <c r="G8" s="70"/>
      <c r="H8" s="67"/>
      <c r="I8" s="71"/>
      <c r="J8" s="72"/>
      <c r="K8" s="70"/>
      <c r="L8" s="73"/>
      <c r="M8" s="74"/>
      <c r="N8" s="233"/>
      <c r="O8" s="270"/>
      <c r="P8" s="3"/>
    </row>
    <row r="9" spans="1:16" ht="19.5" customHeight="1" thickBot="1" x14ac:dyDescent="0.25">
      <c r="A9" s="5"/>
      <c r="B9" s="67">
        <f t="shared" si="1"/>
        <v>2026</v>
      </c>
      <c r="C9" s="68">
        <f t="shared" si="0"/>
        <v>1</v>
      </c>
      <c r="D9" s="67">
        <v>327</v>
      </c>
      <c r="E9" s="69"/>
      <c r="F9" s="282"/>
      <c r="G9" s="70"/>
      <c r="H9" s="67"/>
      <c r="I9" s="71"/>
      <c r="J9" s="72"/>
      <c r="K9" s="70"/>
      <c r="L9" s="73"/>
      <c r="M9" s="74"/>
      <c r="N9" s="233"/>
      <c r="O9" s="270"/>
      <c r="P9" s="3"/>
    </row>
    <row r="10" spans="1:16" ht="19.5" customHeight="1" thickBot="1" x14ac:dyDescent="0.25">
      <c r="A10" s="5"/>
      <c r="B10" s="67">
        <f t="shared" si="1"/>
        <v>2026</v>
      </c>
      <c r="C10" s="68">
        <f t="shared" si="0"/>
        <v>1</v>
      </c>
      <c r="D10" s="67">
        <v>328</v>
      </c>
      <c r="E10" s="69"/>
      <c r="F10" s="282"/>
      <c r="G10" s="70"/>
      <c r="H10" s="67"/>
      <c r="I10" s="71"/>
      <c r="J10" s="72"/>
      <c r="K10" s="70"/>
      <c r="L10" s="73"/>
      <c r="M10" s="74"/>
      <c r="N10" s="233"/>
      <c r="O10" s="270"/>
      <c r="P10" s="3"/>
    </row>
    <row r="11" spans="1:16" ht="19.5" customHeight="1" thickBot="1" x14ac:dyDescent="0.25">
      <c r="A11" s="5"/>
      <c r="B11" s="67">
        <f t="shared" si="1"/>
        <v>2026</v>
      </c>
      <c r="C11" s="68">
        <f t="shared" si="0"/>
        <v>1</v>
      </c>
      <c r="D11" s="67">
        <v>329</v>
      </c>
      <c r="E11" s="69"/>
      <c r="F11" s="282"/>
      <c r="G11" s="70"/>
      <c r="H11" s="67"/>
      <c r="I11" s="71"/>
      <c r="J11" s="72"/>
      <c r="K11" s="70"/>
      <c r="L11" s="73"/>
      <c r="M11" s="74"/>
      <c r="N11" s="233"/>
      <c r="O11" s="270"/>
      <c r="P11" s="3"/>
    </row>
    <row r="12" spans="1:16" ht="19.5" customHeight="1" thickBot="1" x14ac:dyDescent="0.25">
      <c r="A12" s="5"/>
      <c r="B12" s="67">
        <f t="shared" si="1"/>
        <v>2026</v>
      </c>
      <c r="C12" s="68">
        <f t="shared" si="0"/>
        <v>1</v>
      </c>
      <c r="D12" s="67">
        <v>330</v>
      </c>
      <c r="E12" s="69"/>
      <c r="F12" s="282"/>
      <c r="G12" s="70"/>
      <c r="H12" s="67"/>
      <c r="I12" s="71"/>
      <c r="J12" s="72"/>
      <c r="K12" s="70"/>
      <c r="L12" s="73"/>
      <c r="M12" s="74"/>
      <c r="N12" s="233"/>
      <c r="O12" s="270"/>
      <c r="P12" s="3"/>
    </row>
    <row r="13" spans="1:16" ht="19.5" customHeight="1" thickBot="1" x14ac:dyDescent="0.25">
      <c r="A13" s="5"/>
      <c r="B13" s="67">
        <f t="shared" si="1"/>
        <v>2026</v>
      </c>
      <c r="C13" s="68">
        <f t="shared" si="0"/>
        <v>1</v>
      </c>
      <c r="D13" s="67">
        <v>335</v>
      </c>
      <c r="E13" s="69"/>
      <c r="F13" s="282"/>
      <c r="G13" s="70"/>
      <c r="H13" s="67"/>
      <c r="I13" s="71"/>
      <c r="J13" s="72"/>
      <c r="K13" s="70"/>
      <c r="L13" s="73"/>
      <c r="M13" s="74"/>
      <c r="N13" s="233"/>
      <c r="O13" s="270"/>
      <c r="P13" s="3"/>
    </row>
    <row r="14" spans="1:16" ht="19.5" customHeight="1" thickBot="1" x14ac:dyDescent="0.25">
      <c r="A14" s="5"/>
      <c r="B14" s="67">
        <f t="shared" si="1"/>
        <v>2026</v>
      </c>
      <c r="C14" s="68">
        <f t="shared" si="0"/>
        <v>1</v>
      </c>
      <c r="D14" s="67">
        <v>336</v>
      </c>
      <c r="E14" s="69"/>
      <c r="F14" s="282"/>
      <c r="G14" s="70"/>
      <c r="H14" s="67"/>
      <c r="I14" s="71"/>
      <c r="J14" s="72"/>
      <c r="K14" s="70"/>
      <c r="L14" s="73"/>
      <c r="M14" s="74"/>
      <c r="N14" s="233"/>
      <c r="O14" s="270"/>
      <c r="P14" s="3"/>
    </row>
    <row r="15" spans="1:16" ht="19.5" customHeight="1" thickBot="1" x14ac:dyDescent="0.25">
      <c r="A15" s="5"/>
      <c r="B15" s="75">
        <f>B14</f>
        <v>2026</v>
      </c>
      <c r="C15" s="68">
        <f t="shared" si="0"/>
        <v>1</v>
      </c>
      <c r="D15" s="75">
        <v>338</v>
      </c>
      <c r="E15" s="76"/>
      <c r="F15" s="283"/>
      <c r="G15" s="77"/>
      <c r="H15" s="75"/>
      <c r="I15" s="71"/>
      <c r="J15" s="78"/>
      <c r="K15" s="77"/>
      <c r="L15" s="79"/>
      <c r="M15" s="80"/>
      <c r="N15" s="234"/>
      <c r="O15" s="270"/>
      <c r="P15" s="3"/>
    </row>
    <row r="16" spans="1:16" ht="19.5" customHeight="1" thickBot="1" x14ac:dyDescent="0.25">
      <c r="A16" s="5"/>
      <c r="B16" s="81">
        <f>B15</f>
        <v>2026</v>
      </c>
      <c r="C16" s="82">
        <f>C3</f>
        <v>1</v>
      </c>
      <c r="D16" s="81">
        <v>340</v>
      </c>
      <c r="E16" s="83"/>
      <c r="F16" s="284"/>
      <c r="G16" s="84"/>
      <c r="H16" s="81"/>
      <c r="I16" s="81"/>
      <c r="J16" s="85"/>
      <c r="K16" s="85"/>
      <c r="L16" s="86"/>
      <c r="M16" s="87"/>
      <c r="N16" s="88"/>
      <c r="O16" s="271" t="s">
        <v>18</v>
      </c>
      <c r="P16" s="3"/>
    </row>
    <row r="17" spans="1:16" ht="19.5" customHeight="1" thickBot="1" x14ac:dyDescent="0.25">
      <c r="A17" s="5"/>
      <c r="B17" s="89">
        <f>B16</f>
        <v>2026</v>
      </c>
      <c r="C17" s="89">
        <f>C3</f>
        <v>1</v>
      </c>
      <c r="D17" s="90">
        <v>342</v>
      </c>
      <c r="E17" s="91"/>
      <c r="F17" s="285"/>
      <c r="G17" s="92"/>
      <c r="H17" s="90"/>
      <c r="I17" s="90"/>
      <c r="J17" s="93"/>
      <c r="K17" s="93"/>
      <c r="L17" s="94"/>
      <c r="M17" s="95"/>
      <c r="N17" s="96"/>
      <c r="O17" s="271"/>
      <c r="P17" s="3"/>
    </row>
    <row r="18" spans="1:16" ht="19.5" customHeight="1" thickBot="1" x14ac:dyDescent="0.25">
      <c r="A18" s="5"/>
      <c r="B18" s="89">
        <f t="shared" ref="B18:B20" si="2">B17</f>
        <v>2026</v>
      </c>
      <c r="C18" s="89">
        <f>C3</f>
        <v>1</v>
      </c>
      <c r="D18" s="90">
        <v>343</v>
      </c>
      <c r="E18" s="91"/>
      <c r="F18" s="285"/>
      <c r="G18" s="92"/>
      <c r="H18" s="90"/>
      <c r="I18" s="90"/>
      <c r="J18" s="93"/>
      <c r="K18" s="93"/>
      <c r="L18" s="94"/>
      <c r="M18" s="95"/>
      <c r="N18" s="96"/>
      <c r="O18" s="271"/>
      <c r="P18" s="3"/>
    </row>
    <row r="19" spans="1:16" ht="19.5" customHeight="1" thickBot="1" x14ac:dyDescent="0.25">
      <c r="A19" s="5"/>
      <c r="B19" s="89">
        <f t="shared" si="2"/>
        <v>2026</v>
      </c>
      <c r="C19" s="89">
        <f>C4</f>
        <v>1</v>
      </c>
      <c r="D19" s="90">
        <v>344</v>
      </c>
      <c r="E19" s="91"/>
      <c r="F19" s="285"/>
      <c r="G19" s="92"/>
      <c r="H19" s="90"/>
      <c r="I19" s="90"/>
      <c r="J19" s="93"/>
      <c r="K19" s="93"/>
      <c r="L19" s="94"/>
      <c r="M19" s="95"/>
      <c r="N19" s="96"/>
      <c r="O19" s="271"/>
      <c r="P19" s="3"/>
    </row>
    <row r="20" spans="1:16" ht="19.5" customHeight="1" thickBot="1" x14ac:dyDescent="0.25">
      <c r="A20" s="5"/>
      <c r="B20" s="89">
        <f t="shared" si="2"/>
        <v>2026</v>
      </c>
      <c r="C20" s="89">
        <f>C5</f>
        <v>1</v>
      </c>
      <c r="D20" s="90">
        <v>345</v>
      </c>
      <c r="E20" s="91"/>
      <c r="F20" s="285"/>
      <c r="G20" s="92"/>
      <c r="H20" s="90"/>
      <c r="I20" s="90"/>
      <c r="J20" s="93"/>
      <c r="K20" s="93"/>
      <c r="L20" s="94"/>
      <c r="M20" s="95"/>
      <c r="N20" s="96"/>
      <c r="O20" s="271"/>
      <c r="P20" s="3"/>
    </row>
    <row r="21" spans="1:16" ht="19.5" customHeight="1" thickBot="1" x14ac:dyDescent="0.25">
      <c r="A21" s="5"/>
      <c r="B21" s="97">
        <f t="shared" ref="B21:B27" si="3">B20</f>
        <v>2026</v>
      </c>
      <c r="C21" s="98">
        <f>C6</f>
        <v>1</v>
      </c>
      <c r="D21" s="99">
        <v>346</v>
      </c>
      <c r="E21" s="100"/>
      <c r="F21" s="286"/>
      <c r="G21" s="101"/>
      <c r="H21" s="99"/>
      <c r="I21" s="99"/>
      <c r="J21" s="102"/>
      <c r="K21" s="102"/>
      <c r="L21" s="103"/>
      <c r="M21" s="104"/>
      <c r="N21" s="105"/>
      <c r="O21" s="271"/>
      <c r="P21" s="3"/>
    </row>
    <row r="22" spans="1:16" ht="19.5" customHeight="1" thickBot="1" x14ac:dyDescent="0.25">
      <c r="A22" s="5"/>
      <c r="B22" s="106">
        <f t="shared" si="3"/>
        <v>2026</v>
      </c>
      <c r="C22" s="107">
        <f>C3</f>
        <v>1</v>
      </c>
      <c r="D22" s="106">
        <v>401</v>
      </c>
      <c r="E22" s="108"/>
      <c r="F22" s="287"/>
      <c r="G22" s="109"/>
      <c r="H22" s="106"/>
      <c r="I22" s="106"/>
      <c r="J22" s="110"/>
      <c r="K22" s="110"/>
      <c r="L22" s="111"/>
      <c r="M22" s="112"/>
      <c r="N22" s="113"/>
      <c r="O22" s="275" t="s">
        <v>19</v>
      </c>
      <c r="P22" s="3"/>
    </row>
    <row r="23" spans="1:16" ht="19.5" customHeight="1" thickBot="1" x14ac:dyDescent="0.25">
      <c r="A23" s="5"/>
      <c r="B23" s="106">
        <f t="shared" si="3"/>
        <v>2026</v>
      </c>
      <c r="C23" s="114">
        <f>C3</f>
        <v>1</v>
      </c>
      <c r="D23" s="115">
        <v>404</v>
      </c>
      <c r="E23" s="116"/>
      <c r="F23" s="287"/>
      <c r="G23" s="109"/>
      <c r="H23" s="106"/>
      <c r="I23" s="115"/>
      <c r="J23" s="117"/>
      <c r="K23" s="117"/>
      <c r="L23" s="118"/>
      <c r="M23" s="119"/>
      <c r="N23" s="120"/>
      <c r="O23" s="275"/>
      <c r="P23" s="3"/>
    </row>
    <row r="24" spans="1:16" ht="19.5" customHeight="1" thickBot="1" x14ac:dyDescent="0.25">
      <c r="A24" s="5"/>
      <c r="B24" s="121">
        <f t="shared" si="3"/>
        <v>2026</v>
      </c>
      <c r="C24" s="121">
        <f>C3</f>
        <v>1</v>
      </c>
      <c r="D24" s="122">
        <v>405</v>
      </c>
      <c r="E24" s="123"/>
      <c r="F24" s="288"/>
      <c r="G24" s="124"/>
      <c r="H24" s="125"/>
      <c r="I24" s="122"/>
      <c r="J24" s="124"/>
      <c r="K24" s="124"/>
      <c r="L24" s="126"/>
      <c r="M24" s="127"/>
      <c r="N24" s="128"/>
      <c r="O24" s="275"/>
      <c r="P24" s="3"/>
    </row>
    <row r="25" spans="1:16" ht="19.5" customHeight="1" thickBot="1" x14ac:dyDescent="0.25">
      <c r="A25" s="5"/>
      <c r="B25" s="129">
        <f t="shared" si="3"/>
        <v>2026</v>
      </c>
      <c r="C25" s="129">
        <f>C3</f>
        <v>1</v>
      </c>
      <c r="D25" s="130">
        <v>411</v>
      </c>
      <c r="E25" s="131"/>
      <c r="F25" s="289"/>
      <c r="G25" s="132"/>
      <c r="H25" s="133"/>
      <c r="I25" s="130"/>
      <c r="J25" s="132"/>
      <c r="K25" s="132"/>
      <c r="L25" s="134"/>
      <c r="M25" s="135"/>
      <c r="N25" s="136"/>
      <c r="O25" s="274" t="s">
        <v>26</v>
      </c>
      <c r="P25" s="3"/>
    </row>
    <row r="26" spans="1:16" ht="19.5" customHeight="1" thickBot="1" x14ac:dyDescent="0.25">
      <c r="A26" s="5"/>
      <c r="B26" s="137">
        <f t="shared" si="3"/>
        <v>2026</v>
      </c>
      <c r="C26" s="137">
        <f>C3</f>
        <v>1</v>
      </c>
      <c r="D26" s="138">
        <v>418</v>
      </c>
      <c r="E26" s="139"/>
      <c r="F26" s="290"/>
      <c r="G26" s="140"/>
      <c r="H26" s="141"/>
      <c r="I26" s="138"/>
      <c r="J26" s="140"/>
      <c r="K26" s="140"/>
      <c r="L26" s="142"/>
      <c r="M26" s="143"/>
      <c r="N26" s="144"/>
      <c r="O26" s="274"/>
      <c r="P26" s="3"/>
    </row>
    <row r="27" spans="1:16" ht="19.5" customHeight="1" thickBot="1" x14ac:dyDescent="0.25">
      <c r="A27" s="5"/>
      <c r="B27" s="137">
        <f t="shared" si="3"/>
        <v>2026</v>
      </c>
      <c r="C27" s="137">
        <f>C3</f>
        <v>1</v>
      </c>
      <c r="D27" s="138">
        <v>501</v>
      </c>
      <c r="E27" s="145"/>
      <c r="F27" s="291"/>
      <c r="G27" s="146"/>
      <c r="H27" s="141"/>
      <c r="I27" s="138"/>
      <c r="J27" s="140"/>
      <c r="K27" s="140"/>
      <c r="L27" s="142"/>
      <c r="M27" s="143"/>
      <c r="N27" s="144"/>
      <c r="O27" s="274"/>
      <c r="P27" s="3"/>
    </row>
    <row r="28" spans="1:16" ht="19.5" customHeight="1" thickBot="1" x14ac:dyDescent="0.25">
      <c r="A28" s="5"/>
      <c r="B28" s="137">
        <f t="shared" ref="B28:B63" si="4">B27</f>
        <v>2026</v>
      </c>
      <c r="C28" s="137">
        <f>C3</f>
        <v>1</v>
      </c>
      <c r="D28" s="138">
        <v>504</v>
      </c>
      <c r="E28" s="139"/>
      <c r="F28" s="290"/>
      <c r="G28" s="140"/>
      <c r="H28" s="141"/>
      <c r="I28" s="138"/>
      <c r="J28" s="140"/>
      <c r="K28" s="140"/>
      <c r="L28" s="142"/>
      <c r="M28" s="143"/>
      <c r="N28" s="144"/>
      <c r="O28" s="274"/>
      <c r="P28" s="3"/>
    </row>
    <row r="29" spans="1:16" ht="19.5" customHeight="1" thickBot="1" x14ac:dyDescent="0.25">
      <c r="A29" s="5"/>
      <c r="B29" s="137">
        <f t="shared" si="4"/>
        <v>2026</v>
      </c>
      <c r="C29" s="137">
        <f>C3</f>
        <v>1</v>
      </c>
      <c r="D29" s="138">
        <v>519</v>
      </c>
      <c r="E29" s="139"/>
      <c r="F29" s="290"/>
      <c r="G29" s="140"/>
      <c r="H29" s="141"/>
      <c r="I29" s="138"/>
      <c r="J29" s="140"/>
      <c r="K29" s="140"/>
      <c r="L29" s="142"/>
      <c r="M29" s="143"/>
      <c r="N29" s="144"/>
      <c r="O29" s="274"/>
      <c r="P29" s="3"/>
    </row>
    <row r="30" spans="1:16" ht="19.5" customHeight="1" thickBot="1" x14ac:dyDescent="0.25">
      <c r="A30" s="5"/>
      <c r="B30" s="137">
        <f t="shared" si="4"/>
        <v>2026</v>
      </c>
      <c r="C30" s="137">
        <f>C3</f>
        <v>1</v>
      </c>
      <c r="D30" s="138">
        <v>602</v>
      </c>
      <c r="E30" s="145"/>
      <c r="F30" s="291"/>
      <c r="G30" s="146"/>
      <c r="H30" s="141"/>
      <c r="I30" s="138"/>
      <c r="J30" s="140"/>
      <c r="K30" s="140"/>
      <c r="L30" s="142"/>
      <c r="M30" s="143"/>
      <c r="N30" s="144"/>
      <c r="O30" s="274"/>
      <c r="P30" s="3"/>
    </row>
    <row r="31" spans="1:16" ht="19.5" customHeight="1" thickBot="1" x14ac:dyDescent="0.25">
      <c r="A31" s="5"/>
      <c r="B31" s="137">
        <f t="shared" si="4"/>
        <v>2026</v>
      </c>
      <c r="C31" s="137">
        <f>C3</f>
        <v>1</v>
      </c>
      <c r="D31" s="138">
        <v>606</v>
      </c>
      <c r="E31" s="139"/>
      <c r="F31" s="290"/>
      <c r="G31" s="140"/>
      <c r="H31" s="141"/>
      <c r="I31" s="138"/>
      <c r="J31" s="140"/>
      <c r="K31" s="140"/>
      <c r="L31" s="142"/>
      <c r="M31" s="143"/>
      <c r="N31" s="144"/>
      <c r="O31" s="274"/>
      <c r="P31" s="3"/>
    </row>
    <row r="32" spans="1:16" ht="19.5" customHeight="1" thickBot="1" x14ac:dyDescent="0.25">
      <c r="A32" s="5"/>
      <c r="B32" s="137">
        <f t="shared" si="4"/>
        <v>2026</v>
      </c>
      <c r="C32" s="137">
        <f>C3</f>
        <v>1</v>
      </c>
      <c r="D32" s="138">
        <v>609</v>
      </c>
      <c r="E32" s="139"/>
      <c r="F32" s="290"/>
      <c r="G32" s="140"/>
      <c r="H32" s="141"/>
      <c r="I32" s="138"/>
      <c r="J32" s="140"/>
      <c r="K32" s="140"/>
      <c r="L32" s="142"/>
      <c r="M32" s="143"/>
      <c r="N32" s="144"/>
      <c r="O32" s="274"/>
      <c r="P32" s="3"/>
    </row>
    <row r="33" spans="1:16" ht="19.5" customHeight="1" thickBot="1" x14ac:dyDescent="0.25">
      <c r="A33" s="5"/>
      <c r="B33" s="147">
        <f t="shared" si="4"/>
        <v>2026</v>
      </c>
      <c r="C33" s="148">
        <f>C3</f>
        <v>1</v>
      </c>
      <c r="D33" s="149">
        <v>610</v>
      </c>
      <c r="E33" s="150"/>
      <c r="F33" s="292"/>
      <c r="G33" s="151"/>
      <c r="H33" s="152"/>
      <c r="I33" s="149"/>
      <c r="J33" s="153"/>
      <c r="K33" s="153"/>
      <c r="L33" s="154"/>
      <c r="M33" s="155"/>
      <c r="N33" s="156"/>
      <c r="O33" s="274"/>
      <c r="P33" s="3"/>
    </row>
    <row r="34" spans="1:16" ht="19.5" customHeight="1" thickBot="1" x14ac:dyDescent="0.25">
      <c r="A34" s="5"/>
      <c r="B34" s="257">
        <f t="shared" si="4"/>
        <v>2026</v>
      </c>
      <c r="C34" s="157">
        <f>C3</f>
        <v>1</v>
      </c>
      <c r="D34" s="158">
        <v>508</v>
      </c>
      <c r="E34" s="159"/>
      <c r="F34" s="293"/>
      <c r="G34" s="160"/>
      <c r="H34" s="161"/>
      <c r="I34" s="162"/>
      <c r="J34" s="162"/>
      <c r="K34" s="162"/>
      <c r="L34" s="163"/>
      <c r="M34" s="164"/>
      <c r="N34" s="165"/>
      <c r="O34" s="272" t="s">
        <v>6</v>
      </c>
      <c r="P34" s="3"/>
    </row>
    <row r="35" spans="1:16" ht="19.5" customHeight="1" thickBot="1" x14ac:dyDescent="0.25">
      <c r="A35" s="5"/>
      <c r="B35" s="258">
        <f t="shared" si="4"/>
        <v>2026</v>
      </c>
      <c r="C35" s="157">
        <f>C3</f>
        <v>1</v>
      </c>
      <c r="D35" s="166">
        <v>513</v>
      </c>
      <c r="E35" s="167"/>
      <c r="F35" s="294"/>
      <c r="G35" s="168"/>
      <c r="H35" s="169"/>
      <c r="I35" s="170"/>
      <c r="J35" s="170"/>
      <c r="K35" s="170"/>
      <c r="L35" s="171"/>
      <c r="M35" s="172"/>
      <c r="N35" s="173"/>
      <c r="O35" s="272"/>
      <c r="P35" s="3"/>
    </row>
    <row r="36" spans="1:16" ht="19.5" customHeight="1" thickBot="1" x14ac:dyDescent="0.25">
      <c r="A36" s="5"/>
      <c r="B36" s="258">
        <f t="shared" si="4"/>
        <v>2026</v>
      </c>
      <c r="C36" s="157">
        <f>C3</f>
        <v>1</v>
      </c>
      <c r="D36" s="166">
        <v>520</v>
      </c>
      <c r="E36" s="167"/>
      <c r="F36" s="294"/>
      <c r="G36" s="168"/>
      <c r="H36" s="169"/>
      <c r="I36" s="170"/>
      <c r="J36" s="170"/>
      <c r="K36" s="170"/>
      <c r="L36" s="171"/>
      <c r="M36" s="172"/>
      <c r="N36" s="173"/>
      <c r="O36" s="272"/>
      <c r="P36" s="3"/>
    </row>
    <row r="37" spans="1:16" ht="19.5" customHeight="1" thickBot="1" x14ac:dyDescent="0.25">
      <c r="A37" s="5"/>
      <c r="B37" s="258">
        <f t="shared" si="4"/>
        <v>2026</v>
      </c>
      <c r="C37" s="157">
        <f>C3</f>
        <v>1</v>
      </c>
      <c r="D37" s="166">
        <v>801</v>
      </c>
      <c r="E37" s="167"/>
      <c r="F37" s="294"/>
      <c r="G37" s="168"/>
      <c r="H37" s="169"/>
      <c r="I37" s="170"/>
      <c r="J37" s="170"/>
      <c r="K37" s="170"/>
      <c r="L37" s="171"/>
      <c r="M37" s="172"/>
      <c r="N37" s="173"/>
      <c r="O37" s="272"/>
      <c r="P37" s="3"/>
    </row>
    <row r="38" spans="1:16" ht="19.5" customHeight="1" thickBot="1" x14ac:dyDescent="0.25">
      <c r="A38" s="5"/>
      <c r="B38" s="259">
        <f t="shared" si="4"/>
        <v>2026</v>
      </c>
      <c r="C38" s="174">
        <f>C3</f>
        <v>1</v>
      </c>
      <c r="D38" s="175">
        <v>804</v>
      </c>
      <c r="E38" s="176"/>
      <c r="F38" s="295"/>
      <c r="G38" s="177"/>
      <c r="H38" s="178"/>
      <c r="I38" s="179"/>
      <c r="J38" s="179"/>
      <c r="K38" s="179"/>
      <c r="L38" s="180"/>
      <c r="M38" s="181"/>
      <c r="N38" s="182"/>
      <c r="O38" s="272"/>
      <c r="P38" s="3"/>
    </row>
    <row r="39" spans="1:16" ht="19.5" customHeight="1" x14ac:dyDescent="0.2">
      <c r="A39" s="5"/>
      <c r="B39" s="256">
        <f t="shared" si="4"/>
        <v>2026</v>
      </c>
      <c r="C39" s="183">
        <f>C3</f>
        <v>1</v>
      </c>
      <c r="D39" s="184">
        <v>703</v>
      </c>
      <c r="E39" s="185"/>
      <c r="F39" s="296"/>
      <c r="G39" s="186"/>
      <c r="H39" s="187"/>
      <c r="I39" s="188"/>
      <c r="J39" s="189"/>
      <c r="K39" s="189"/>
      <c r="L39" s="190"/>
      <c r="M39" s="191"/>
      <c r="N39" s="192"/>
      <c r="O39" s="276" t="s">
        <v>7</v>
      </c>
      <c r="P39" s="3"/>
    </row>
    <row r="40" spans="1:16" ht="19.5" customHeight="1" x14ac:dyDescent="0.2">
      <c r="A40" s="5"/>
      <c r="B40" s="254">
        <f t="shared" si="4"/>
        <v>2026</v>
      </c>
      <c r="C40" s="193">
        <f>C3</f>
        <v>1</v>
      </c>
      <c r="D40" s="194">
        <v>704</v>
      </c>
      <c r="E40" s="195"/>
      <c r="F40" s="297"/>
      <c r="G40" s="196"/>
      <c r="H40" s="188"/>
      <c r="I40" s="188"/>
      <c r="J40" s="197"/>
      <c r="K40" s="197"/>
      <c r="L40" s="198"/>
      <c r="M40" s="199"/>
      <c r="N40" s="200"/>
      <c r="O40" s="277"/>
      <c r="P40" s="3"/>
    </row>
    <row r="41" spans="1:16" ht="19.5" customHeight="1" x14ac:dyDescent="0.2">
      <c r="A41" s="5"/>
      <c r="B41" s="254">
        <f t="shared" si="4"/>
        <v>2026</v>
      </c>
      <c r="C41" s="193">
        <f>C3</f>
        <v>1</v>
      </c>
      <c r="D41" s="194">
        <v>705</v>
      </c>
      <c r="E41" s="195"/>
      <c r="F41" s="297"/>
      <c r="G41" s="196"/>
      <c r="H41" s="188"/>
      <c r="I41" s="188"/>
      <c r="J41" s="197"/>
      <c r="K41" s="197"/>
      <c r="L41" s="198"/>
      <c r="M41" s="199"/>
      <c r="N41" s="200"/>
      <c r="O41" s="277"/>
      <c r="P41" s="3"/>
    </row>
    <row r="42" spans="1:16" ht="19.5" customHeight="1" x14ac:dyDescent="0.2">
      <c r="A42" s="5"/>
      <c r="B42" s="254">
        <f t="shared" si="4"/>
        <v>2026</v>
      </c>
      <c r="C42" s="193">
        <f>C3</f>
        <v>1</v>
      </c>
      <c r="D42" s="194">
        <v>706</v>
      </c>
      <c r="E42" s="195"/>
      <c r="F42" s="297"/>
      <c r="G42" s="196"/>
      <c r="H42" s="188"/>
      <c r="I42" s="188"/>
      <c r="J42" s="197"/>
      <c r="K42" s="197"/>
      <c r="L42" s="198"/>
      <c r="M42" s="199"/>
      <c r="N42" s="200"/>
      <c r="O42" s="277"/>
      <c r="P42" s="3"/>
    </row>
    <row r="43" spans="1:16" ht="19.5" customHeight="1" x14ac:dyDescent="0.2">
      <c r="A43" s="5"/>
      <c r="B43" s="254">
        <f t="shared" si="4"/>
        <v>2026</v>
      </c>
      <c r="C43" s="193">
        <f>C3</f>
        <v>1</v>
      </c>
      <c r="D43" s="194">
        <v>707</v>
      </c>
      <c r="E43" s="195"/>
      <c r="F43" s="297"/>
      <c r="G43" s="196"/>
      <c r="H43" s="188"/>
      <c r="I43" s="188"/>
      <c r="J43" s="197"/>
      <c r="K43" s="197"/>
      <c r="L43" s="198"/>
      <c r="M43" s="199"/>
      <c r="N43" s="200"/>
      <c r="O43" s="277"/>
      <c r="P43" s="3"/>
    </row>
    <row r="44" spans="1:16" ht="19.5" customHeight="1" x14ac:dyDescent="0.2">
      <c r="A44" s="5"/>
      <c r="B44" s="254">
        <f t="shared" si="4"/>
        <v>2026</v>
      </c>
      <c r="C44" s="193">
        <f>C3</f>
        <v>1</v>
      </c>
      <c r="D44" s="194">
        <v>711</v>
      </c>
      <c r="E44" s="195"/>
      <c r="F44" s="297"/>
      <c r="G44" s="196"/>
      <c r="H44" s="188"/>
      <c r="I44" s="188"/>
      <c r="J44" s="197"/>
      <c r="K44" s="197"/>
      <c r="L44" s="198"/>
      <c r="M44" s="199"/>
      <c r="N44" s="200"/>
      <c r="O44" s="277"/>
      <c r="P44" s="3"/>
    </row>
    <row r="45" spans="1:16" ht="19.5" customHeight="1" x14ac:dyDescent="0.2">
      <c r="A45" s="5"/>
      <c r="B45" s="201">
        <f t="shared" si="4"/>
        <v>2026</v>
      </c>
      <c r="C45" s="201">
        <f>C3</f>
        <v>1</v>
      </c>
      <c r="D45" s="202">
        <v>716</v>
      </c>
      <c r="E45" s="203"/>
      <c r="F45" s="298"/>
      <c r="G45" s="204"/>
      <c r="H45" s="205"/>
      <c r="I45" s="206"/>
      <c r="J45" s="204"/>
      <c r="K45" s="204"/>
      <c r="L45" s="207"/>
      <c r="M45" s="208"/>
      <c r="N45" s="209"/>
      <c r="O45" s="277"/>
      <c r="P45" s="3"/>
    </row>
    <row r="46" spans="1:16" ht="19.5" customHeight="1" x14ac:dyDescent="0.2">
      <c r="A46" s="5"/>
      <c r="B46" s="254">
        <f t="shared" si="4"/>
        <v>2026</v>
      </c>
      <c r="C46" s="193">
        <f>C3</f>
        <v>1</v>
      </c>
      <c r="D46" s="194">
        <v>718</v>
      </c>
      <c r="E46" s="195"/>
      <c r="F46" s="297"/>
      <c r="G46" s="196"/>
      <c r="H46" s="188"/>
      <c r="I46" s="188"/>
      <c r="J46" s="196"/>
      <c r="K46" s="197"/>
      <c r="L46" s="210"/>
      <c r="M46" s="211"/>
      <c r="N46" s="212"/>
      <c r="O46" s="277"/>
      <c r="P46" s="3"/>
    </row>
    <row r="47" spans="1:16" ht="19.5" customHeight="1" x14ac:dyDescent="0.2">
      <c r="A47" s="5"/>
      <c r="B47" s="254">
        <f t="shared" si="4"/>
        <v>2026</v>
      </c>
      <c r="C47" s="193">
        <f>C3</f>
        <v>1</v>
      </c>
      <c r="D47" s="194">
        <v>719</v>
      </c>
      <c r="E47" s="195"/>
      <c r="F47" s="297"/>
      <c r="G47" s="196"/>
      <c r="H47" s="188"/>
      <c r="I47" s="188"/>
      <c r="J47" s="197"/>
      <c r="K47" s="197"/>
      <c r="L47" s="198"/>
      <c r="M47" s="199"/>
      <c r="N47" s="200"/>
      <c r="O47" s="277"/>
      <c r="P47" s="3"/>
    </row>
    <row r="48" spans="1:16" ht="19.5" customHeight="1" x14ac:dyDescent="0.2">
      <c r="A48" s="5"/>
      <c r="B48" s="254">
        <f t="shared" si="4"/>
        <v>2026</v>
      </c>
      <c r="C48" s="193">
        <f>C3</f>
        <v>1</v>
      </c>
      <c r="D48" s="194">
        <v>720</v>
      </c>
      <c r="E48" s="195"/>
      <c r="F48" s="297"/>
      <c r="G48" s="196"/>
      <c r="H48" s="188"/>
      <c r="I48" s="188"/>
      <c r="J48" s="197"/>
      <c r="K48" s="197"/>
      <c r="L48" s="198"/>
      <c r="M48" s="199"/>
      <c r="N48" s="200"/>
      <c r="O48" s="277"/>
      <c r="P48" s="3"/>
    </row>
    <row r="49" spans="1:16" ht="19.5" customHeight="1" x14ac:dyDescent="0.2">
      <c r="A49" s="5"/>
      <c r="B49" s="254">
        <f t="shared" si="4"/>
        <v>2026</v>
      </c>
      <c r="C49" s="193">
        <f>C3</f>
        <v>1</v>
      </c>
      <c r="D49" s="194">
        <v>723</v>
      </c>
      <c r="E49" s="195"/>
      <c r="F49" s="297"/>
      <c r="G49" s="196"/>
      <c r="H49" s="188"/>
      <c r="I49" s="188"/>
      <c r="J49" s="196"/>
      <c r="K49" s="197"/>
      <c r="L49" s="210"/>
      <c r="M49" s="211"/>
      <c r="N49" s="212"/>
      <c r="O49" s="277"/>
      <c r="P49" s="3"/>
    </row>
    <row r="50" spans="1:16" ht="19.5" customHeight="1" x14ac:dyDescent="0.2">
      <c r="A50" s="5"/>
      <c r="B50" s="254">
        <f t="shared" si="4"/>
        <v>2026</v>
      </c>
      <c r="C50" s="193">
        <f>C3</f>
        <v>1</v>
      </c>
      <c r="D50" s="194">
        <v>724</v>
      </c>
      <c r="E50" s="195"/>
      <c r="F50" s="297"/>
      <c r="G50" s="196"/>
      <c r="H50" s="188"/>
      <c r="I50" s="188"/>
      <c r="J50" s="197"/>
      <c r="K50" s="197"/>
      <c r="L50" s="198"/>
      <c r="M50" s="199"/>
      <c r="N50" s="200"/>
      <c r="O50" s="277"/>
      <c r="P50" s="3"/>
    </row>
    <row r="51" spans="1:16" ht="19.5" customHeight="1" thickBot="1" x14ac:dyDescent="0.25">
      <c r="A51" s="5"/>
      <c r="B51" s="255">
        <f t="shared" si="4"/>
        <v>2026</v>
      </c>
      <c r="C51" s="251">
        <f>C3</f>
        <v>1</v>
      </c>
      <c r="D51" s="213">
        <v>726</v>
      </c>
      <c r="E51" s="214"/>
      <c r="F51" s="299"/>
      <c r="G51" s="215"/>
      <c r="H51" s="216"/>
      <c r="I51" s="188"/>
      <c r="J51" s="217"/>
      <c r="K51" s="217"/>
      <c r="L51" s="218"/>
      <c r="M51" s="219"/>
      <c r="N51" s="220"/>
      <c r="O51" s="278"/>
      <c r="P51" s="3"/>
    </row>
    <row r="52" spans="1:16" ht="19.5" customHeight="1" thickBot="1" x14ac:dyDescent="0.25">
      <c r="A52" s="5"/>
      <c r="B52" s="252">
        <f t="shared" si="4"/>
        <v>2026</v>
      </c>
      <c r="C52" s="28">
        <f>C3</f>
        <v>1</v>
      </c>
      <c r="D52" s="29">
        <v>809</v>
      </c>
      <c r="E52" s="26">
        <v>46097</v>
      </c>
      <c r="F52" s="300">
        <v>10.3</v>
      </c>
      <c r="G52" s="27">
        <v>80</v>
      </c>
      <c r="H52" s="28">
        <v>3</v>
      </c>
      <c r="I52" s="29" t="s">
        <v>31</v>
      </c>
      <c r="J52" s="30">
        <v>2</v>
      </c>
      <c r="K52" s="30" t="s">
        <v>32</v>
      </c>
      <c r="L52" s="31">
        <v>6</v>
      </c>
      <c r="M52" s="32">
        <v>6</v>
      </c>
      <c r="N52" s="33">
        <v>6</v>
      </c>
      <c r="O52" s="273" t="s">
        <v>8</v>
      </c>
      <c r="P52" s="3"/>
    </row>
    <row r="53" spans="1:16" ht="19.5" customHeight="1" thickBot="1" x14ac:dyDescent="0.25">
      <c r="A53" s="5"/>
      <c r="B53" s="250">
        <f t="shared" si="4"/>
        <v>2026</v>
      </c>
      <c r="C53" s="36">
        <f>C3</f>
        <v>1</v>
      </c>
      <c r="D53" s="37">
        <v>812</v>
      </c>
      <c r="E53" s="34">
        <v>46097</v>
      </c>
      <c r="F53" s="301">
        <v>8.6</v>
      </c>
      <c r="G53" s="35">
        <v>82</v>
      </c>
      <c r="H53" s="36">
        <v>3</v>
      </c>
      <c r="I53" s="37" t="s">
        <v>33</v>
      </c>
      <c r="J53" s="38"/>
      <c r="K53" s="38" t="s">
        <v>32</v>
      </c>
      <c r="L53" s="39"/>
      <c r="M53" s="40"/>
      <c r="N53" s="41"/>
      <c r="O53" s="273"/>
      <c r="P53" s="3"/>
    </row>
    <row r="54" spans="1:16" ht="19.5" customHeight="1" thickBot="1" x14ac:dyDescent="0.25">
      <c r="A54" s="5"/>
      <c r="B54" s="249">
        <f t="shared" si="4"/>
        <v>2026</v>
      </c>
      <c r="C54" s="44">
        <f>C3</f>
        <v>1</v>
      </c>
      <c r="D54" s="58">
        <v>815</v>
      </c>
      <c r="E54" s="42"/>
      <c r="F54" s="302">
        <v>5</v>
      </c>
      <c r="G54" s="43"/>
      <c r="H54" s="44"/>
      <c r="I54" s="45"/>
      <c r="J54" s="46"/>
      <c r="K54" s="46"/>
      <c r="L54" s="47"/>
      <c r="M54" s="48"/>
      <c r="N54" s="49"/>
      <c r="O54" s="273"/>
      <c r="P54" s="3"/>
    </row>
    <row r="55" spans="1:16" ht="19.5" customHeight="1" thickBot="1" x14ac:dyDescent="0.25">
      <c r="A55" s="5"/>
      <c r="B55" s="249">
        <f t="shared" si="4"/>
        <v>2026</v>
      </c>
      <c r="C55" s="44">
        <f>C3</f>
        <v>1</v>
      </c>
      <c r="D55" s="58">
        <v>901</v>
      </c>
      <c r="E55" s="50"/>
      <c r="F55" s="303">
        <v>8.1</v>
      </c>
      <c r="G55" s="43"/>
      <c r="H55" s="44"/>
      <c r="I55" s="45"/>
      <c r="J55" s="46"/>
      <c r="K55" s="46"/>
      <c r="L55" s="47"/>
      <c r="M55" s="48"/>
      <c r="N55" s="49"/>
      <c r="O55" s="273"/>
      <c r="P55" s="3"/>
    </row>
    <row r="56" spans="1:16" ht="19.5" customHeight="1" thickBot="1" x14ac:dyDescent="0.25">
      <c r="A56" s="5"/>
      <c r="B56" s="249">
        <f t="shared" si="4"/>
        <v>2026</v>
      </c>
      <c r="C56" s="44">
        <f>C3</f>
        <v>1</v>
      </c>
      <c r="D56" s="58">
        <v>902</v>
      </c>
      <c r="E56" s="50"/>
      <c r="F56" s="303">
        <v>3.2</v>
      </c>
      <c r="G56" s="43"/>
      <c r="H56" s="44"/>
      <c r="I56" s="45"/>
      <c r="J56" s="46"/>
      <c r="K56" s="46"/>
      <c r="L56" s="47"/>
      <c r="M56" s="48"/>
      <c r="N56" s="49"/>
      <c r="O56" s="273"/>
      <c r="P56" s="3"/>
    </row>
    <row r="57" spans="1:16" ht="19.5" customHeight="1" thickBot="1" x14ac:dyDescent="0.25">
      <c r="A57" s="5"/>
      <c r="B57" s="249">
        <f t="shared" si="4"/>
        <v>2026</v>
      </c>
      <c r="C57" s="44">
        <f>C3</f>
        <v>1</v>
      </c>
      <c r="D57" s="58">
        <v>906</v>
      </c>
      <c r="E57" s="50"/>
      <c r="F57" s="303">
        <v>3.9</v>
      </c>
      <c r="G57" s="43"/>
      <c r="H57" s="44"/>
      <c r="I57" s="45"/>
      <c r="J57" s="46"/>
      <c r="K57" s="46"/>
      <c r="L57" s="47"/>
      <c r="M57" s="48"/>
      <c r="N57" s="49"/>
      <c r="O57" s="273"/>
      <c r="P57" s="3"/>
    </row>
    <row r="58" spans="1:16" ht="19.5" customHeight="1" thickBot="1" x14ac:dyDescent="0.25">
      <c r="A58" s="5"/>
      <c r="B58" s="249">
        <f t="shared" si="4"/>
        <v>2026</v>
      </c>
      <c r="C58" s="44">
        <f>C3</f>
        <v>1</v>
      </c>
      <c r="D58" s="58">
        <v>910</v>
      </c>
      <c r="E58" s="50">
        <v>46097</v>
      </c>
      <c r="F58" s="303">
        <v>2.9</v>
      </c>
      <c r="G58" s="43">
        <v>167</v>
      </c>
      <c r="H58" s="44">
        <v>3</v>
      </c>
      <c r="I58" s="45" t="s">
        <v>33</v>
      </c>
      <c r="J58" s="46"/>
      <c r="K58" s="46" t="s">
        <v>32</v>
      </c>
      <c r="L58" s="47"/>
      <c r="M58" s="48"/>
      <c r="N58" s="49"/>
      <c r="O58" s="273"/>
      <c r="P58" s="3"/>
    </row>
    <row r="59" spans="1:16" ht="19.5" customHeight="1" thickBot="1" x14ac:dyDescent="0.25">
      <c r="A59" s="7"/>
      <c r="B59" s="249">
        <f t="shared" si="4"/>
        <v>2026</v>
      </c>
      <c r="C59" s="44">
        <f>C3</f>
        <v>1</v>
      </c>
      <c r="D59" s="58">
        <v>912</v>
      </c>
      <c r="E59" s="50">
        <v>46098</v>
      </c>
      <c r="F59" s="303">
        <v>3.4</v>
      </c>
      <c r="G59" s="43">
        <v>147</v>
      </c>
      <c r="H59" s="44">
        <v>3</v>
      </c>
      <c r="I59" s="45" t="s">
        <v>33</v>
      </c>
      <c r="J59" s="46"/>
      <c r="K59" s="46" t="s">
        <v>32</v>
      </c>
      <c r="L59" s="47"/>
      <c r="M59" s="48"/>
      <c r="N59" s="49"/>
      <c r="O59" s="273"/>
      <c r="P59" s="3"/>
    </row>
    <row r="60" spans="1:16" ht="19.5" customHeight="1" thickBot="1" x14ac:dyDescent="0.25">
      <c r="A60" s="12"/>
      <c r="B60" s="249">
        <f t="shared" si="4"/>
        <v>2026</v>
      </c>
      <c r="C60" s="44">
        <f>C3</f>
        <v>1</v>
      </c>
      <c r="D60" s="58">
        <v>914</v>
      </c>
      <c r="E60" s="50">
        <v>46098</v>
      </c>
      <c r="F60" s="303">
        <v>2.2000000000000002</v>
      </c>
      <c r="G60" s="43">
        <v>189</v>
      </c>
      <c r="H60" s="44">
        <v>3</v>
      </c>
      <c r="I60" s="45" t="s">
        <v>33</v>
      </c>
      <c r="J60" s="46"/>
      <c r="K60" s="46" t="s">
        <v>32</v>
      </c>
      <c r="L60" s="47"/>
      <c r="M60" s="48"/>
      <c r="N60" s="49"/>
      <c r="O60" s="273"/>
      <c r="P60" s="3"/>
    </row>
    <row r="61" spans="1:16" ht="19.5" customHeight="1" thickBot="1" x14ac:dyDescent="0.25">
      <c r="A61" s="11"/>
      <c r="B61" s="249">
        <f t="shared" si="4"/>
        <v>2026</v>
      </c>
      <c r="C61" s="44">
        <f>C3</f>
        <v>1</v>
      </c>
      <c r="D61" s="58">
        <v>915</v>
      </c>
      <c r="E61" s="50">
        <v>46098</v>
      </c>
      <c r="F61" s="303">
        <v>3.4</v>
      </c>
      <c r="G61" s="43">
        <v>164</v>
      </c>
      <c r="H61" s="44">
        <v>3</v>
      </c>
      <c r="I61" s="45" t="s">
        <v>33</v>
      </c>
      <c r="J61" s="46"/>
      <c r="K61" s="46" t="s">
        <v>32</v>
      </c>
      <c r="L61" s="47"/>
      <c r="M61" s="48"/>
      <c r="N61" s="49"/>
      <c r="O61" s="273"/>
      <c r="P61" s="3"/>
    </row>
    <row r="62" spans="1:16" ht="19.5" customHeight="1" thickBot="1" x14ac:dyDescent="0.25">
      <c r="B62" s="260">
        <f t="shared" si="4"/>
        <v>2026</v>
      </c>
      <c r="C62" s="261">
        <f>C3</f>
        <v>1</v>
      </c>
      <c r="D62" s="262">
        <v>918</v>
      </c>
      <c r="E62" s="263"/>
      <c r="F62" s="304"/>
      <c r="G62" s="264"/>
      <c r="H62" s="261"/>
      <c r="I62" s="265" t="s">
        <v>34</v>
      </c>
      <c r="J62" s="266"/>
      <c r="K62" s="266"/>
      <c r="L62" s="267"/>
      <c r="M62" s="268"/>
      <c r="N62" s="269"/>
      <c r="O62" s="273"/>
      <c r="P62" s="3"/>
    </row>
    <row r="63" spans="1:16" ht="19.5" customHeight="1" thickBot="1" x14ac:dyDescent="0.25">
      <c r="A63" s="14"/>
      <c r="B63" s="253">
        <f t="shared" si="4"/>
        <v>2026</v>
      </c>
      <c r="C63" s="53">
        <f>C3</f>
        <v>1</v>
      </c>
      <c r="D63" s="59">
        <v>919</v>
      </c>
      <c r="E63" s="51">
        <v>46097</v>
      </c>
      <c r="F63" s="305">
        <v>3.5</v>
      </c>
      <c r="G63" s="52">
        <v>126</v>
      </c>
      <c r="H63" s="53">
        <v>3</v>
      </c>
      <c r="I63" s="45" t="s">
        <v>33</v>
      </c>
      <c r="J63" s="54"/>
      <c r="K63" s="54" t="s">
        <v>32</v>
      </c>
      <c r="L63" s="55"/>
      <c r="M63" s="56"/>
      <c r="N63" s="57"/>
      <c r="O63" s="273"/>
      <c r="P63" s="6"/>
    </row>
    <row r="64" spans="1:16" ht="19.5" customHeight="1" x14ac:dyDescent="0.25">
      <c r="A64" s="14"/>
      <c r="B64" s="221" t="s">
        <v>29</v>
      </c>
      <c r="C64" s="222"/>
      <c r="D64" s="222"/>
      <c r="E64" s="222"/>
      <c r="F64" s="235"/>
      <c r="G64" s="222"/>
      <c r="H64" s="222"/>
      <c r="I64" s="223"/>
      <c r="J64" s="222"/>
      <c r="K64" s="222"/>
      <c r="L64" s="222"/>
      <c r="M64" s="222"/>
      <c r="N64" s="235"/>
      <c r="O64" s="224"/>
      <c r="P64" s="5"/>
    </row>
    <row r="65" spans="1:16" ht="19.5" customHeight="1" x14ac:dyDescent="0.25">
      <c r="A65" s="14"/>
      <c r="B65" s="221" t="s">
        <v>28</v>
      </c>
      <c r="C65" s="224"/>
      <c r="D65" s="224"/>
      <c r="E65" s="224"/>
      <c r="F65" s="236"/>
      <c r="G65" s="224"/>
      <c r="H65" s="224"/>
      <c r="I65" s="224"/>
      <c r="J65" s="224"/>
      <c r="K65" s="224"/>
      <c r="L65" s="224"/>
      <c r="M65" s="224"/>
      <c r="N65" s="236"/>
      <c r="O65" s="225"/>
      <c r="P65" s="11"/>
    </row>
    <row r="66" spans="1:16" ht="19.5" customHeight="1" x14ac:dyDescent="0.25">
      <c r="A66" s="14"/>
      <c r="B66" s="221" t="s">
        <v>27</v>
      </c>
      <c r="C66" s="224"/>
      <c r="D66" s="224"/>
      <c r="E66" s="224"/>
      <c r="F66" s="236"/>
      <c r="G66" s="224"/>
      <c r="H66" s="224"/>
      <c r="I66" s="224"/>
      <c r="J66" s="224"/>
      <c r="K66" s="224"/>
      <c r="L66" s="224"/>
      <c r="M66" s="224"/>
      <c r="N66" s="236"/>
      <c r="O66" s="224"/>
      <c r="P66" s="17"/>
    </row>
    <row r="67" spans="1:16" ht="19.5" customHeight="1" x14ac:dyDescent="0.2">
      <c r="A67" s="14"/>
      <c r="B67" s="227" t="s">
        <v>37</v>
      </c>
      <c r="C67" s="24"/>
      <c r="D67" s="24"/>
      <c r="E67" s="25"/>
      <c r="F67" s="306"/>
      <c r="G67" s="25"/>
      <c r="H67" s="25"/>
      <c r="I67" s="24"/>
      <c r="J67" s="24"/>
      <c r="K67" s="24"/>
      <c r="L67" s="24"/>
      <c r="M67" s="24"/>
      <c r="N67" s="237"/>
      <c r="P67" s="8"/>
    </row>
    <row r="68" spans="1:16" ht="15" customHeight="1" x14ac:dyDescent="0.2">
      <c r="A68" s="14"/>
      <c r="B68" s="14"/>
      <c r="C68" s="14"/>
      <c r="D68" s="14"/>
      <c r="E68" s="14"/>
      <c r="F68" s="238"/>
      <c r="G68" s="14"/>
      <c r="H68" s="16"/>
      <c r="I68" s="15"/>
      <c r="J68" s="22"/>
      <c r="K68" s="21"/>
      <c r="L68" s="16"/>
      <c r="M68" s="19"/>
      <c r="N68" s="238"/>
      <c r="O68" s="24"/>
    </row>
    <row r="69" spans="1:16" ht="15" customHeight="1" x14ac:dyDescent="0.2">
      <c r="H69" s="20"/>
      <c r="O69" s="224"/>
      <c r="P69" s="14"/>
    </row>
    <row r="70" spans="1:16" ht="15" customHeight="1" x14ac:dyDescent="0.2">
      <c r="G70" s="18"/>
      <c r="P70" s="14"/>
    </row>
    <row r="71" spans="1:16" ht="15" customHeight="1" x14ac:dyDescent="0.2">
      <c r="I71" s="10" t="s">
        <v>13</v>
      </c>
      <c r="J71" s="4">
        <v>179</v>
      </c>
      <c r="P71" s="14"/>
    </row>
    <row r="72" spans="1:16" ht="15" customHeight="1" x14ac:dyDescent="0.2">
      <c r="I72" s="10" t="s">
        <v>14</v>
      </c>
      <c r="J72" s="4">
        <v>21</v>
      </c>
      <c r="P72" s="14"/>
    </row>
    <row r="73" spans="1:16" ht="15" customHeight="1" x14ac:dyDescent="0.2">
      <c r="I73" s="10" t="s">
        <v>15</v>
      </c>
      <c r="J73" s="13">
        <f>J72/J71</f>
        <v>0.11731843575418995</v>
      </c>
      <c r="K73" s="13"/>
    </row>
    <row r="74" spans="1:16" ht="15" customHeight="1" x14ac:dyDescent="0.2"/>
    <row r="75" spans="1:16" ht="15" customHeight="1" x14ac:dyDescent="0.2">
      <c r="F75" s="307"/>
      <c r="I75" s="248" t="s">
        <v>20</v>
      </c>
      <c r="J75" s="18">
        <f>SUM(J3:J15)</f>
        <v>0</v>
      </c>
      <c r="K75" s="248"/>
      <c r="N75" s="18"/>
    </row>
    <row r="76" spans="1:16" x14ac:dyDescent="0.2">
      <c r="I76" s="248" t="s">
        <v>18</v>
      </c>
      <c r="J76" s="18">
        <f>SUM(J16:J21)</f>
        <v>0</v>
      </c>
      <c r="K76" s="248"/>
      <c r="N76" s="18"/>
    </row>
    <row r="77" spans="1:16" x14ac:dyDescent="0.2">
      <c r="I77" s="248" t="s">
        <v>21</v>
      </c>
      <c r="J77" s="18">
        <f>SUM(J22:J24)</f>
        <v>0</v>
      </c>
      <c r="K77" s="248"/>
      <c r="N77" s="18"/>
    </row>
    <row r="78" spans="1:16" x14ac:dyDescent="0.2">
      <c r="I78" s="248" t="s">
        <v>22</v>
      </c>
      <c r="J78" s="18">
        <f>SUM(J25:J33)</f>
        <v>0</v>
      </c>
      <c r="K78" s="248"/>
      <c r="N78" s="18"/>
    </row>
    <row r="79" spans="1:16" x14ac:dyDescent="0.2">
      <c r="I79" s="248" t="s">
        <v>6</v>
      </c>
      <c r="J79" s="18">
        <f>SUM(J34:J38)</f>
        <v>0</v>
      </c>
      <c r="K79" s="248"/>
      <c r="N79" s="18"/>
    </row>
    <row r="80" spans="1:16" x14ac:dyDescent="0.2">
      <c r="I80" s="248" t="s">
        <v>23</v>
      </c>
      <c r="J80" s="18">
        <f>SUM(J39:J51)</f>
        <v>0</v>
      </c>
      <c r="K80" s="248"/>
      <c r="N80" s="18"/>
    </row>
    <row r="81" spans="9:14" x14ac:dyDescent="0.2">
      <c r="I81" s="248" t="s">
        <v>30</v>
      </c>
      <c r="J81" s="18">
        <f>SUM(J52:J53)</f>
        <v>2</v>
      </c>
      <c r="K81" s="248"/>
      <c r="N81" s="18"/>
    </row>
    <row r="82" spans="9:14" x14ac:dyDescent="0.2">
      <c r="I82" s="248" t="s">
        <v>24</v>
      </c>
      <c r="J82" s="18">
        <f>SUM(J54:J63)</f>
        <v>0</v>
      </c>
      <c r="K82" s="248"/>
      <c r="N82" s="18"/>
    </row>
    <row r="83" spans="9:14" x14ac:dyDescent="0.2">
      <c r="J83" s="18">
        <f>SUM(J75:J82)</f>
        <v>2</v>
      </c>
      <c r="N83" s="18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F4BB7273-FD31-4381-A7E5-546D75F15C11}">
      <formula1>"Not Processed, No Smelt Catch, Not Sampled, Longfin Smelt, Delta Smelt"</formula1>
    </dataValidation>
    <dataValidation type="list" allowBlank="1" showInputMessage="1" showErrorMessage="1" sqref="K3:K63" xr:uid="{27818E06-936A-4592-8E69-F753613BF601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workbookViewId="0">
      <selection activeCell="I38" sqref="I38"/>
    </sheetView>
  </sheetViews>
  <sheetFormatPr defaultRowHeight="12.75" x14ac:dyDescent="0.2"/>
  <cols>
    <col min="1" max="16384" width="9.140625" style="308"/>
  </cols>
  <sheetData>
    <row r="1" spans="1:11" x14ac:dyDescent="0.2">
      <c r="A1" s="310" t="s">
        <v>36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1" x14ac:dyDescent="0.2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</row>
  </sheetData>
  <mergeCells count="1">
    <mergeCell ref="A1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1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Mora, Vanessa@Wildlife</cp:lastModifiedBy>
  <cp:lastPrinted>2024-05-30T00:07:14Z</cp:lastPrinted>
  <dcterms:created xsi:type="dcterms:W3CDTF">2010-03-26T20:15:02Z</dcterms:created>
  <dcterms:modified xsi:type="dcterms:W3CDTF">2026-03-24T16:38:08Z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